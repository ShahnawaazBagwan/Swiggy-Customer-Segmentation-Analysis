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SDH\SQL Databricks\Swiggy project\"/>
    </mc:Choice>
  </mc:AlternateContent>
  <xr:revisionPtr revIDLastSave="0" documentId="13_ncr:1_{F440ED07-63EF-4F27-B6E4-72A7CF894469}" xr6:coauthVersionLast="47" xr6:coauthVersionMax="47" xr10:uidLastSave="{00000000-0000-0000-0000-000000000000}"/>
  <bookViews>
    <workbookView xWindow="-108" yWindow="-108" windowWidth="23256" windowHeight="12456" firstSheet="9" activeTab="12" xr2:uid="{64F7BCBD-7C3A-435A-8EDB-BC0D0D083881}"/>
  </bookViews>
  <sheets>
    <sheet name="Total_orders" sheetId="1" r:id="rId1"/>
    <sheet name="Avg_delivery_time" sheetId="4" r:id="rId2"/>
    <sheet name="Net_revenue by month_year" sheetId="3" r:id="rId3"/>
    <sheet name="Coupon_used_percentage" sheetId="5" r:id="rId4"/>
    <sheet name="pct_gross_amount_monthly" sheetId="6" r:id="rId5"/>
    <sheet name="pct_membership_benefit" sheetId="7" r:id="rId6"/>
    <sheet name="active_customers monthly" sheetId="8" r:id="rId7"/>
    <sheet name="Delivery_Success_rate" sheetId="10" r:id="rId8"/>
    <sheet name="Raining Vs Not Raining" sheetId="11" r:id="rId9"/>
    <sheet name="Worst 50 deliveries" sheetId="12" r:id="rId10"/>
    <sheet name="Exposed orders" sheetId="13" r:id="rId11"/>
    <sheet name="Campaign vs no campaign" sheetId="14" r:id="rId12"/>
    <sheet name="Joining tables" sheetId="15" r:id="rId13"/>
    <sheet name="quality check" sheetId="16" r:id="rId14"/>
    <sheet name="top cuisines" sheetId="17" r:id="rId15"/>
    <sheet name="Net Revenue by restaurant" sheetId="18" r:id="rId16"/>
    <sheet name="Coupon performance" sheetId="19" r:id="rId17"/>
    <sheet name="Sheet3" sheetId="20" r:id="rId18"/>
  </sheets>
  <definedNames>
    <definedName name="_xlchart.v2.0" hidden="1">'Net Revenue by restaurant'!$B$7:$C$26</definedName>
    <definedName name="_xlchart.v2.1" hidden="1">'Net Revenue by restaurant'!$E$6</definedName>
    <definedName name="_xlchart.v2.2" hidden="1">'Net Revenue by restaurant'!$E$7:$E$26</definedName>
    <definedName name="_xlchart.v2.3" hidden="1">'Net Revenue by restaurant'!$B$27:$C$46</definedName>
    <definedName name="_xlchart.v2.4" hidden="1">'Net Revenue by restaurant'!$E$27:$E$46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5" l="1"/>
  <c r="D11" i="5"/>
  <c r="E10" i="5"/>
  <c r="D10" i="5"/>
  <c r="E6" i="5"/>
  <c r="E5" i="5"/>
  <c r="D6" i="5"/>
  <c r="D5" i="5"/>
</calcChain>
</file>

<file path=xl/sharedStrings.xml><?xml version="1.0" encoding="utf-8"?>
<sst xmlns="http://schemas.openxmlformats.org/spreadsheetml/2006/main" count="2060" uniqueCount="437">
  <si>
    <t>Show the total number of orders per city in descending order.</t>
  </si>
  <si>
    <t>Total_orders</t>
  </si>
  <si>
    <t>Hyderabad</t>
  </si>
  <si>
    <t>Bangalore</t>
  </si>
  <si>
    <t>City</t>
  </si>
  <si>
    <t>Calculate monthly net revenue by city.</t>
  </si>
  <si>
    <t>show City, year_month, net_revenue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</si>
  <si>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</si>
  <si>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</si>
  <si>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</si>
  <si>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</si>
  <si>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</si>
  <si>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</si>
  <si>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</si>
  <si>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</si>
  <si>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</si>
  <si>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</si>
  <si>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</si>
  <si>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</si>
  <si>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</si>
  <si>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year_month</t>
  </si>
  <si>
    <t>Find the average delivery time (delivery_minutes) by city.</t>
  </si>
  <si>
    <t>city</t>
  </si>
  <si>
    <t>Avg_delivery_time</t>
  </si>
  <si>
    <t>Bangalore takes 2 minutes more time to deliver an order</t>
  </si>
  <si>
    <t>Calculate the percentage of orders where a coupon was used order by city.</t>
  </si>
  <si>
    <t>coupon_used</t>
  </si>
  <si>
    <t>coupon_not_used</t>
  </si>
  <si>
    <t>Converting into percentage</t>
  </si>
  <si>
    <t>--     • total gross amount</t>
  </si>
  <si>
    <t>--     • total coupon discount</t>
  </si>
  <si>
    <t>--     • percentage of coupon discount over gross amount</t>
  </si>
  <si>
    <t>For each month, calculate:</t>
  </si>
  <si>
    <t>Gross_amount_monthly</t>
  </si>
  <si>
    <t>Coupon_discount_amount_monthly</t>
  </si>
  <si>
    <t>discount_percentage</t>
  </si>
  <si>
    <t>--     • total discount amount</t>
  </si>
  <si>
    <t>--     • total membership benefit amount</t>
  </si>
  <si>
    <t>--     • percentage share of membership benefit in total discount</t>
  </si>
  <si>
    <t>Total_monthly_discount</t>
  </si>
  <si>
    <t>Total_membership_benefit</t>
  </si>
  <si>
    <t>memberships_benefit_monthly</t>
  </si>
  <si>
    <t>-- Calculate the monthly repeat rate:</t>
  </si>
  <si>
    <t>--     • Active customers per month</t>
  </si>
  <si>
    <t>--     • Repeat customers (2+ orders in same month)</t>
  </si>
  <si>
    <t>--     • Repeat rate percentage</t>
  </si>
  <si>
    <t>active_customers</t>
  </si>
  <si>
    <t>Calculate delivery success rate by city and device type.</t>
  </si>
  <si>
    <t>device_type</t>
  </si>
  <si>
    <t>Delivery_Success_Rate</t>
  </si>
  <si>
    <t>WEB</t>
  </si>
  <si>
    <t>IOS</t>
  </si>
  <si>
    <t>ANDROID</t>
  </si>
  <si>
    <t>Compare average delivery time for raining vs non-raining orders by city.</t>
  </si>
  <si>
    <t>raining_flag</t>
  </si>
  <si>
    <t>orders</t>
  </si>
  <si>
    <t>Avg_delivery_minutes</t>
  </si>
  <si>
    <t>--     • Failed deliveries OR</t>
  </si>
  <si>
    <t>--     • Very high delivery time</t>
  </si>
  <si>
    <t>--     Sort with worst cases first.</t>
  </si>
  <si>
    <t>Identify the worst 50 deliveries based on:</t>
  </si>
  <si>
    <t>transaction_id</t>
  </si>
  <si>
    <t>customer_id</t>
  </si>
  <si>
    <t>transaction_date</t>
  </si>
  <si>
    <t>transaction_time</t>
  </si>
  <si>
    <t>delivery_success_flag</t>
  </si>
  <si>
    <t>delivery_minutes</t>
  </si>
  <si>
    <t>surge_flag</t>
  </si>
  <si>
    <t>net_amount</t>
  </si>
  <si>
    <t>2025-05-09T00:00:00.000</t>
  </si>
  <si>
    <t>2025-09-27T00:00:00.000</t>
  </si>
  <si>
    <t>2025-10-25T00:00:00.000</t>
  </si>
  <si>
    <t>2025-05-19T00:00:00.000</t>
  </si>
  <si>
    <t>2025-06-27T00:00:00.000</t>
  </si>
  <si>
    <t>2025-08-09T00:00:00.000</t>
  </si>
  <si>
    <t>2025-12-07T00:00:00.000</t>
  </si>
  <si>
    <t>2025-02-24T00:00:00.000</t>
  </si>
  <si>
    <t>2025-09-14T00:00:00.000</t>
  </si>
  <si>
    <t>2025-09-24T00:00:00.000</t>
  </si>
  <si>
    <t>2025-04-11T00:00:00.000</t>
  </si>
  <si>
    <t>2025-09-17T00:00:00.000</t>
  </si>
  <si>
    <t>2025-11-06T00:00:00.000</t>
  </si>
  <si>
    <t>2025-09-12T00:00:00.000</t>
  </si>
  <si>
    <t>2025-11-14T00:00:00.000</t>
  </si>
  <si>
    <t>2025-09-18T00:00:00.000</t>
  </si>
  <si>
    <t>2025-03-17T00:00:00.000</t>
  </si>
  <si>
    <t>2025-09-06T00:00:00.000</t>
  </si>
  <si>
    <t>2025-01-16T00:00:00.000</t>
  </si>
  <si>
    <t>2025-05-14T00:00:00.000</t>
  </si>
  <si>
    <t>2025-04-27T00:00:00.000</t>
  </si>
  <si>
    <t>2025-04-23T00:00:00.000</t>
  </si>
  <si>
    <t>2025-08-30T00:00:00.000</t>
  </si>
  <si>
    <t>2025-06-09T00:00:00.000</t>
  </si>
  <si>
    <t>2025-12-23T00:00:00.000</t>
  </si>
  <si>
    <t>2025-09-13T00:00:00.000</t>
  </si>
  <si>
    <t>2025-11-10T00:00:00.000</t>
  </si>
  <si>
    <t>2025-09-11T00:00:00.000</t>
  </si>
  <si>
    <t>2025-03-22T00:00:00.000</t>
  </si>
  <si>
    <t>2025-12-04T00:00:00.000</t>
  </si>
  <si>
    <t>2025-07-22T00:00:00.000</t>
  </si>
  <si>
    <t>2024-12-27T00:00:00.000</t>
  </si>
  <si>
    <t>2025-04-20T00:00:00.000</t>
  </si>
  <si>
    <t>2025-06-10T00:00:00.000</t>
  </si>
  <si>
    <t>2025-02-11T00:00:00.000</t>
  </si>
  <si>
    <t>2025-07-23T00:00:00.000</t>
  </si>
  <si>
    <t>2025-03-01T00:00:00.000</t>
  </si>
  <si>
    <t>2025-08-04T00:00:00.000</t>
  </si>
  <si>
    <t>2025-08-23T00:00:00.000</t>
  </si>
  <si>
    <t>2025-10-26T00:00:00.000</t>
  </si>
  <si>
    <t>2025-03-23T00:00:00.000</t>
  </si>
  <si>
    <t>2025-10-08T00:00:00.000</t>
  </si>
  <si>
    <t>2025-06-06T00:00:00.000</t>
  </si>
  <si>
    <t>--     Consider only exposed orders.</t>
  </si>
  <si>
    <t>Calculate Campaign CTR (Click-Through Rate) by campaign_id.</t>
  </si>
  <si>
    <t>campaign_id</t>
  </si>
  <si>
    <t>exposed_orders</t>
  </si>
  <si>
    <t>clicked_orders</t>
  </si>
  <si>
    <t>CTR_precentage</t>
  </si>
  <si>
    <t>POPUP_202</t>
  </si>
  <si>
    <t>PUSH_101</t>
  </si>
  <si>
    <t>EMAIL_303</t>
  </si>
  <si>
    <t>PAID_404</t>
  </si>
  <si>
    <t>--      • Campaign exposed orders</t>
  </si>
  <si>
    <t>--      • Non-exposed orders</t>
  </si>
  <si>
    <t>--      Split by city.</t>
  </si>
  <si>
    <t>Compare average net order value for:</t>
  </si>
  <si>
    <t>campaign_exposed_flag</t>
  </si>
  <si>
    <t>Avg_net_amount</t>
  </si>
  <si>
    <t>-- Create an enriched order view by joining:</t>
  </si>
  <si>
    <t>--     fact_transactions with:</t>
  </si>
  <si>
    <t>--     • dim_customer</t>
  </si>
  <si>
    <t>--     • dim_geo</t>
  </si>
  <si>
    <t>--     • dim_restaurant_product</t>
  </si>
  <si>
    <t>--     • dim_coupon</t>
  </si>
  <si>
    <t>--     • dim_campaign</t>
  </si>
  <si>
    <t>--     Include key customer, geo, product, coupon, and campaign attributes.</t>
  </si>
  <si>
    <t>order_city</t>
  </si>
  <si>
    <t>customer_name</t>
  </si>
  <si>
    <t>gender</t>
  </si>
  <si>
    <t>age</t>
  </si>
  <si>
    <t>signup_date</t>
  </si>
  <si>
    <t>customer_membership_tier</t>
  </si>
  <si>
    <t>restaurant_product_id</t>
  </si>
  <si>
    <t>restaurant_name</t>
  </si>
  <si>
    <t>product_name</t>
  </si>
  <si>
    <t>cuisine_tag</t>
  </si>
  <si>
    <t>list_price</t>
  </si>
  <si>
    <t>geo_id</t>
  </si>
  <si>
    <t>geo_city</t>
  </si>
  <si>
    <t>geo_state</t>
  </si>
  <si>
    <t>pincode</t>
  </si>
  <si>
    <t>coupon_used_flag</t>
  </si>
  <si>
    <t>coupon_id</t>
  </si>
  <si>
    <t>coupon_name</t>
  </si>
  <si>
    <t>discount_type</t>
  </si>
  <si>
    <t>discount_value</t>
  </si>
  <si>
    <t>max_discount</t>
  </si>
  <si>
    <t>min_order</t>
  </si>
  <si>
    <t>campaign_name</t>
  </si>
  <si>
    <t>campaign_channel</t>
  </si>
  <si>
    <t>campaign_objective</t>
  </si>
  <si>
    <t>gross_amount</t>
  </si>
  <si>
    <t>coupon_discount_amount</t>
  </si>
  <si>
    <t>membership_benefit_amount</t>
  </si>
  <si>
    <t>total_discount_amount</t>
  </si>
  <si>
    <t>rating</t>
  </si>
  <si>
    <t>2025-01-09T00:00:00.000</t>
  </si>
  <si>
    <t>Anika Desai</t>
  </si>
  <si>
    <t>M</t>
  </si>
  <si>
    <t>2023-11-22T00:00:00.000</t>
  </si>
  <si>
    <t>ONE</t>
  </si>
  <si>
    <t>Meghana Foods</t>
  </si>
  <si>
    <t>Paneer Ghee Roast</t>
  </si>
  <si>
    <t>Desserts</t>
  </si>
  <si>
    <t>Karnataka</t>
  </si>
  <si>
    <t>WEEKEND20</t>
  </si>
  <si>
    <t>Weekend 20% (cap 100)</t>
  </si>
  <si>
    <t>PCT</t>
  </si>
  <si>
    <t>In-app Popup: 20% Off</t>
  </si>
  <si>
    <t>INAPP_POPUP</t>
  </si>
  <si>
    <t>COUPON_ADOPTION</t>
  </si>
  <si>
    <t>null</t>
  </si>
  <si>
    <t>2025-02-17T00:00:00.000</t>
  </si>
  <si>
    <t>Arjun Nair</t>
  </si>
  <si>
    <t>F</t>
  </si>
  <si>
    <t>ONE_LITE</t>
  </si>
  <si>
    <t>Nagarjuna</t>
  </si>
  <si>
    <t>Mutton Curry</t>
  </si>
  <si>
    <t>WELCOME50</t>
  </si>
  <si>
    <t>Welcome 50% (cap 150)</t>
  </si>
  <si>
    <t>2025-05-07T00:00:00.000</t>
  </si>
  <si>
    <t>Kiara Rao</t>
  </si>
  <si>
    <t>2025-05-17T00:00:00.000</t>
  </si>
  <si>
    <t>CTR (Central Tiffin Room)</t>
  </si>
  <si>
    <t>Poori Sagu</t>
  </si>
  <si>
    <t>NONE</t>
  </si>
  <si>
    <t>No Coupon</t>
  </si>
  <si>
    <t>2025-12-05T00:00:00.000</t>
  </si>
  <si>
    <t>Sai Singh</t>
  </si>
  <si>
    <t>Karachi Bakery Cafe</t>
  </si>
  <si>
    <t>Pastries</t>
  </si>
  <si>
    <t>North Indian</t>
  </si>
  <si>
    <t>Telangana</t>
  </si>
  <si>
    <t>No Campaign</t>
  </si>
  <si>
    <t>2025-12-24T00:00:00.000</t>
  </si>
  <si>
    <t>Vivaan Rao</t>
  </si>
  <si>
    <t>2023-09-05T00:00:00.000</t>
  </si>
  <si>
    <t>Empire Restaurant</t>
  </si>
  <si>
    <t>Grill Chicken</t>
  </si>
  <si>
    <t>2025-01-02T00:00:00.000</t>
  </si>
  <si>
    <t>Krishna Iyer</t>
  </si>
  <si>
    <t>2024-07-12T00:00:00.000</t>
  </si>
  <si>
    <t>Chicken Sandwich</t>
  </si>
  <si>
    <t>Bakery</t>
  </si>
  <si>
    <t>2025-11-16T00:00:00.000</t>
  </si>
  <si>
    <t>Aadhya Gowda</t>
  </si>
  <si>
    <t>2024-08-25T00:00:00.000</t>
  </si>
  <si>
    <t>Corner House</t>
  </si>
  <si>
    <t>Hot Chocolate Fudge</t>
  </si>
  <si>
    <t>Cafe</t>
  </si>
  <si>
    <t>2025-07-09T00:00:00.000</t>
  </si>
  <si>
    <t>Riya Gupta</t>
  </si>
  <si>
    <t>2025-11-07T00:00:00.000</t>
  </si>
  <si>
    <t>2025-09-16T00:00:00.000</t>
  </si>
  <si>
    <t>Sneha Das</t>
  </si>
  <si>
    <t>ONE_PLUS</t>
  </si>
  <si>
    <t>Bawarchi</t>
  </si>
  <si>
    <t>Paneer Butter Masala</t>
  </si>
  <si>
    <t>Hyderabadi</t>
  </si>
  <si>
    <t>SAVE80</t>
  </si>
  <si>
    <t>Flat 80 off</t>
  </si>
  <si>
    <t>FLAT</t>
  </si>
  <si>
    <t>Nikhil Iyer</t>
  </si>
  <si>
    <t>2023-08-08T00:00:00.000</t>
  </si>
  <si>
    <t>Meridian</t>
  </si>
  <si>
    <t>Chicken 65</t>
  </si>
  <si>
    <t>Chinese</t>
  </si>
  <si>
    <t>2025-01-07T00:00:00.000</t>
  </si>
  <si>
    <t>Diya Gupta</t>
  </si>
  <si>
    <t>2025-05-31T00:00:00.000</t>
  </si>
  <si>
    <t>Gulab Jamun</t>
  </si>
  <si>
    <t>South Indian</t>
  </si>
  <si>
    <t>Neha Nair</t>
  </si>
  <si>
    <t>2023-08-14T00:00:00.000</t>
  </si>
  <si>
    <t>Chicken Biryani</t>
  </si>
  <si>
    <t>Push: Lunch Deals</t>
  </si>
  <si>
    <t>PUSH</t>
  </si>
  <si>
    <t>INCREASE_ORDERS</t>
  </si>
  <si>
    <t>2025-11-29T00:00:00.000</t>
  </si>
  <si>
    <t>Rohit Rao</t>
  </si>
  <si>
    <t>2025-05-05T00:00:00.000</t>
  </si>
  <si>
    <t>Ram Ki Bandi</t>
  </si>
  <si>
    <t>Podi Idli</t>
  </si>
  <si>
    <t>Andhra</t>
  </si>
  <si>
    <t>2025-03-26T00:00:00.000</t>
  </si>
  <si>
    <t>Meera Jain</t>
  </si>
  <si>
    <t>2024-02-13T00:00:00.000</t>
  </si>
  <si>
    <t>Raita</t>
  </si>
  <si>
    <t>Sneha Pillai</t>
  </si>
  <si>
    <t>2024-10-26T00:00:00.000</t>
  </si>
  <si>
    <t>Truffles</t>
  </si>
  <si>
    <t>Peri Peri Chicken Burger</t>
  </si>
  <si>
    <t>2025-06-12T00:00:00.000</t>
  </si>
  <si>
    <t>Nikhil Kulkarni</t>
  </si>
  <si>
    <t>2024-10-14T00:00:00.000</t>
  </si>
  <si>
    <t>Pista House</t>
  </si>
  <si>
    <t>Phirni</t>
  </si>
  <si>
    <t>Diya Naidu</t>
  </si>
  <si>
    <t>2024-01-26T00:00:00.000</t>
  </si>
  <si>
    <t>Paradise</t>
  </si>
  <si>
    <t>Mutton Biryani</t>
  </si>
  <si>
    <t>2025-04-10T00:00:00.000</t>
  </si>
  <si>
    <t>Meera Iyer</t>
  </si>
  <si>
    <t>2024-02-20T00:00:00.000</t>
  </si>
  <si>
    <t>Classic Burger</t>
  </si>
  <si>
    <t>Email: Weekend Special</t>
  </si>
  <si>
    <t>EMAIL</t>
  </si>
  <si>
    <t>REACTIVATION</t>
  </si>
  <si>
    <t>2025-10-22T00:00:00.000</t>
  </si>
  <si>
    <t>Vihaan Reddy</t>
  </si>
  <si>
    <t>2025-07-19T00:00:00.000</t>
  </si>
  <si>
    <t>Meera Nair</t>
  </si>
  <si>
    <t>2025-04-02T00:00:00.000</t>
  </si>
  <si>
    <t>Vidyarthi Bhavan</t>
  </si>
  <si>
    <t>Idli</t>
  </si>
  <si>
    <t>2025-04-18T00:00:00.000</t>
  </si>
  <si>
    <t>Aadhya Naidu</t>
  </si>
  <si>
    <t>2024-11-01T00:00:00.000</t>
  </si>
  <si>
    <t>Udupi Sri Krishna Bhavan</t>
  </si>
  <si>
    <t>Coffee</t>
  </si>
  <si>
    <t>2025-05-04T00:00:00.000</t>
  </si>
  <si>
    <t>Krishna Reddy</t>
  </si>
  <si>
    <t>2024-07-07T00:00:00.000</t>
  </si>
  <si>
    <t>Smoor</t>
  </si>
  <si>
    <t>Brownie</t>
  </si>
  <si>
    <t>2025-05-21T00:00:00.000</t>
  </si>
  <si>
    <t>Krishna Patel</t>
  </si>
  <si>
    <t>2025-03-19T00:00:00.000</t>
  </si>
  <si>
    <t>Nikhil Shetty</t>
  </si>
  <si>
    <t>2025-05-06T00:00:00.000</t>
  </si>
  <si>
    <t>Continental</t>
  </si>
  <si>
    <t>Sneha Naidu</t>
  </si>
  <si>
    <t>2023-10-27T00:00:00.000</t>
  </si>
  <si>
    <t>Hyderabadi Dum Biryani</t>
  </si>
  <si>
    <t>FREESHIP</t>
  </si>
  <si>
    <t>Free Delivery (flat 40)</t>
  </si>
  <si>
    <t>Vivaan Kulkarni</t>
  </si>
  <si>
    <t>2025-11-11T00:00:00.000</t>
  </si>
  <si>
    <t>Shah Ghouse</t>
  </si>
  <si>
    <t>Mandi Chicken</t>
  </si>
  <si>
    <t>Ira Patel</t>
  </si>
  <si>
    <t>2024-09-18T00:00:00.000</t>
  </si>
  <si>
    <t>Gadbad Ice Cream</t>
  </si>
  <si>
    <t>2025-01-28T00:00:00.000</t>
  </si>
  <si>
    <t>Sneha Gupta</t>
  </si>
  <si>
    <t>2025-07-15T00:00:00.000</t>
  </si>
  <si>
    <t>2025-10-02T00:00:00.000</t>
  </si>
  <si>
    <t>Aadhya Desai</t>
  </si>
  <si>
    <t>2025-01-27T00:00:00.000</t>
  </si>
  <si>
    <t>2025-10-06T00:00:00.000</t>
  </si>
  <si>
    <t>Myra Iyer</t>
  </si>
  <si>
    <t>2024-04-26T00:00:00.000</t>
  </si>
  <si>
    <t>2025-02-15T00:00:00.000</t>
  </si>
  <si>
    <t>Myra Naidu</t>
  </si>
  <si>
    <t>2025-10-09T00:00:00.000</t>
  </si>
  <si>
    <t>Arjun Naidu</t>
  </si>
  <si>
    <t>2024-07-11T00:00:00.000</t>
  </si>
  <si>
    <t>Chutneys</t>
  </si>
  <si>
    <t>Curd Rice</t>
  </si>
  <si>
    <t>2025-06-21T00:00:00.000</t>
  </si>
  <si>
    <t>Dhruv Khan</t>
  </si>
  <si>
    <t>2025-10-18T00:00:00.000</t>
  </si>
  <si>
    <t>Chicken Haleem</t>
  </si>
  <si>
    <t>2025-03-18T00:00:00.000</t>
  </si>
  <si>
    <t>Riya Rao</t>
  </si>
  <si>
    <t>2024-01-16T00:00:00.000</t>
  </si>
  <si>
    <t>2025-02-20T00:00:00.000</t>
  </si>
  <si>
    <t>Rohit Shetty</t>
  </si>
  <si>
    <t>2024-10-28T00:00:00.000</t>
  </si>
  <si>
    <t>Paid Ads: New Users</t>
  </si>
  <si>
    <t>PAID_MEDIA</t>
  </si>
  <si>
    <t>ACQUISITION</t>
  </si>
  <si>
    <t>Vihaan Gowda</t>
  </si>
  <si>
    <t>2023-08-03T00:00:00.000</t>
  </si>
  <si>
    <t>2025-10-17T00:00:00.000</t>
  </si>
  <si>
    <t>Reyansh Kulkarni</t>
  </si>
  <si>
    <t>2025-07-13T00:00:00.000</t>
  </si>
  <si>
    <t>2025-03-06T00:00:00.000</t>
  </si>
  <si>
    <t>Dhruv Chowdhury</t>
  </si>
  <si>
    <t>2024-04-11T00:00:00.000</t>
  </si>
  <si>
    <t>Tea</t>
  </si>
  <si>
    <t>2025-01-14T00:00:00.000</t>
  </si>
  <si>
    <t>Pooja Naidu</t>
  </si>
  <si>
    <t>2025-01-06T00:00:00.000</t>
  </si>
  <si>
    <t>Myra Jain</t>
  </si>
  <si>
    <t>2023-10-24T00:00:00.000</t>
  </si>
  <si>
    <t>Rumali Roti</t>
  </si>
  <si>
    <t>Aarav Singh</t>
  </si>
  <si>
    <t>2024-07-10T00:00:00.000</t>
  </si>
  <si>
    <t>Salan</t>
  </si>
  <si>
    <t>2025-07-27T00:00:00.000</t>
  </si>
  <si>
    <t>Suresh Mehta</t>
  </si>
  <si>
    <t>2024-12-05T00:00:00.000</t>
  </si>
  <si>
    <t>Set Dosa</t>
  </si>
  <si>
    <t>2025-07-06T00:00:00.000</t>
  </si>
  <si>
    <t>Ishaan Das</t>
  </si>
  <si>
    <t>2025-11-01T00:00:00.000</t>
  </si>
  <si>
    <t>Chocolate Cake</t>
  </si>
  <si>
    <t>2025-10-14T00:00:00.000</t>
  </si>
  <si>
    <t>Varun Patel</t>
  </si>
  <si>
    <t>2024-02-21T00:00:00.000</t>
  </si>
  <si>
    <t>2025-11-08T00:00:00.000</t>
  </si>
  <si>
    <t>Akash Desai</t>
  </si>
  <si>
    <t>2025-09-07T00:00:00.000</t>
  </si>
  <si>
    <t>Fish Fry</t>
  </si>
  <si>
    <t>2025-06-26T00:00:00.000</t>
  </si>
  <si>
    <t>Aditya Nair</t>
  </si>
  <si>
    <t>2024-06-09T00:00:00.000</t>
  </si>
  <si>
    <t>Vivaan Gowda</t>
  </si>
  <si>
    <t>2025-08-19T00:00:00.000</t>
  </si>
  <si>
    <t>Idli Vada</t>
  </si>
  <si>
    <t>2025-11-26T00:00:00.000</t>
  </si>
  <si>
    <t>Vivaan Nair</t>
  </si>
  <si>
    <t>2024-11-29T00:00:00.000</t>
  </si>
  <si>
    <t>2025-05-01T00:00:00.000</t>
  </si>
  <si>
    <t>Kiran Das</t>
  </si>
  <si>
    <t>Mehfil</t>
  </si>
  <si>
    <t>Chicken Lollipop</t>
  </si>
  <si>
    <t>2025-12-14T00:00:00.000</t>
  </si>
  <si>
    <t>Myra Desai</t>
  </si>
  <si>
    <t>2023-10-16T00:00:00.000</t>
  </si>
  <si>
    <t>Data Quality Check:</t>
  </si>
  <si>
    <t>--     Identify orphan fact records (missing dimension matches) for:</t>
  </si>
  <si>
    <t>--     • Customer</t>
  </si>
  <si>
    <t>--     • Geo</t>
  </si>
  <si>
    <t>--     • Restaurant Product</t>
  </si>
  <si>
    <t>--     • Coupon (only when coupon_used_flag = 1)</t>
  </si>
  <si>
    <t>--     • Campaign (only when campaign_exposed_flag = 1)</t>
  </si>
  <si>
    <t>dim_name</t>
  </si>
  <si>
    <t>orphan_fact_records</t>
  </si>
  <si>
    <t>dim_customer</t>
  </si>
  <si>
    <t>dim_geo</t>
  </si>
  <si>
    <t>dim_restaurant_product</t>
  </si>
  <si>
    <t>dim_coupon (coupon_used_flag=true)</t>
  </si>
  <si>
    <t>dim_campaign (campaign_exposed_flag=true)</t>
  </si>
  <si>
    <t>Find the top 5 cuisines by net revenue for each city and month.</t>
  </si>
  <si>
    <t>--     Use cuisine_tag from the restaurant product dimension.</t>
  </si>
  <si>
    <t>net_revenue</t>
  </si>
  <si>
    <t>--  Create a restaurant leaderboard:</t>
  </si>
  <si>
    <t>--     • Top restaurants by net revenue</t>
  </si>
  <si>
    <t>--     • Split by city</t>
  </si>
  <si>
    <t>--     • Only include orders from the last 60 days</t>
  </si>
  <si>
    <t>MTR</t>
  </si>
  <si>
    <t>Cream Stone</t>
  </si>
  <si>
    <t>Perform coupon performance analysis:</t>
  </si>
  <si>
    <t>--     For each coupon:</t>
  </si>
  <si>
    <t>--     • Number of orders</t>
  </si>
  <si>
    <t>--     • Average gross amount</t>
  </si>
  <si>
    <t>--     • Average net amount</t>
  </si>
  <si>
    <t>coupon_orders</t>
  </si>
  <si>
    <t>total_coupon_burn</t>
  </si>
  <si>
    <t>avg_gross_with_coupon</t>
  </si>
  <si>
    <t>avg_net_with_coupon</t>
  </si>
  <si>
    <t>PAYDAY15</t>
  </si>
  <si>
    <t>Payday 15% (cap 120)</t>
  </si>
  <si>
    <t>Which Coupon burn most</t>
  </si>
  <si>
    <t>Coupon vs Number of Orders</t>
  </si>
  <si>
    <t>Geo drill-down analysis:</t>
  </si>
  <si>
    <t>--     Using state and pincode from dim_geo, calculate:</t>
  </si>
  <si>
    <t>--     • Orders</t>
  </si>
  <si>
    <t>--     • Net revenue</t>
  </si>
  <si>
    <t>--     • Average delivery time</t>
  </si>
  <si>
    <t>--     • Delivery success rate</t>
  </si>
  <si>
    <t>state</t>
  </si>
  <si>
    <t>avg_delivery_minutes</t>
  </si>
  <si>
    <t>delivery_success_pct</t>
  </si>
  <si>
    <t>monthly_net_revenue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</si>
</sst>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onsolas"/>
      <family val="3"/>
    </font>
    <font>
      <sz val="11"/>
      <color theme="1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2" fillId="2" borderId="0" xfId="0" applyFont="1" applyFill="1"/>
    <xf numFmtId="164" fontId="0" fillId="0" borderId="0" xfId="1" applyNumberFormat="1" applyFont="1"/>
    <xf numFmtId="0" fontId="4" fillId="0" borderId="0" xfId="0" applyFont="1" applyAlignment="1">
      <alignment vertical="center"/>
    </xf>
    <xf numFmtId="0" fontId="4" fillId="3" borderId="0" xfId="0" applyFont="1" applyFill="1" applyAlignment="1">
      <alignment vertical="center"/>
    </xf>
    <xf numFmtId="10" fontId="0" fillId="0" borderId="0" xfId="2" applyNumberFormat="1" applyFont="1"/>
    <xf numFmtId="10" fontId="0" fillId="0" borderId="0" xfId="0" applyNumberFormat="1"/>
    <xf numFmtId="21" fontId="0" fillId="0" borderId="0" xfId="0" applyNumberFormat="1"/>
    <xf numFmtId="0" fontId="0" fillId="4" borderId="0" xfId="0" applyFill="1"/>
    <xf numFmtId="0" fontId="4" fillId="3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">
    <dxf>
      <font>
        <color theme="5"/>
      </font>
    </dxf>
    <dxf>
      <font>
        <color theme="4"/>
      </font>
    </dxf>
    <dxf>
      <font>
        <color theme="4"/>
      </font>
    </dxf>
    <dxf>
      <font>
        <color theme="5"/>
      </font>
    </dxf>
    <dxf>
      <font>
        <color theme="4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Total_orders!$C$4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0C-471A-886D-E79B80C66A5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0C-471A-886D-E79B80C66A51}"/>
              </c:ext>
            </c:extLst>
          </c:dPt>
          <c:cat>
            <c:strRef>
              <c:f>Total_orders!$B$5:$B$6</c:f>
              <c:strCache>
                <c:ptCount val="2"/>
                <c:pt idx="0">
                  <c:v>Hyderabad</c:v>
                </c:pt>
                <c:pt idx="1">
                  <c:v>Bangalore</c:v>
                </c:pt>
              </c:strCache>
            </c:strRef>
          </c:cat>
          <c:val>
            <c:numRef>
              <c:f>Total_orders!$C$5:$C$6</c:f>
              <c:numCache>
                <c:formatCode>_(* #,##0_);_(* \(#,##0\);_(* "-"??_);_(@_)</c:formatCode>
                <c:ptCount val="2"/>
                <c:pt idx="0">
                  <c:v>129640</c:v>
                </c:pt>
                <c:pt idx="1">
                  <c:v>128743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C-471A-886D-E79B80C66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226735"/>
        <c:axId val="1612229615"/>
      </c:barChart>
      <c:catAx>
        <c:axId val="161222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29615"/>
        <c:crosses val="autoZero"/>
        <c:auto val="1"/>
        <c:lblAlgn val="ctr"/>
        <c:lblOffset val="100"/>
        <c:noMultiLvlLbl val="0"/>
      </c:catAx>
      <c:valAx>
        <c:axId val="161222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2226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Delivery time (Minutes)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Avg_delivery_time!$C$4</c:f>
              <c:strCache>
                <c:ptCount val="1"/>
                <c:pt idx="0">
                  <c:v>Avg_delivery_time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FC-45B5-9619-14E4931D4C47}"/>
              </c:ext>
            </c:extLst>
          </c:dPt>
          <c:cat>
            <c:strRef>
              <c:f>Avg_delivery_time!$B$5:$B$6</c:f>
              <c:strCache>
                <c:ptCount val="2"/>
                <c:pt idx="0">
                  <c:v>Bangalore</c:v>
                </c:pt>
                <c:pt idx="1">
                  <c:v>Hyderabad</c:v>
                </c:pt>
              </c:strCache>
            </c:strRef>
          </c:cat>
          <c:val>
            <c:numRef>
              <c:f>Avg_delivery_time!$C$5:$C$6</c:f>
              <c:numCache>
                <c:formatCode>General</c:formatCode>
                <c:ptCount val="2"/>
                <c:pt idx="0">
                  <c:v>35.188765355408698</c:v>
                </c:pt>
                <c:pt idx="1">
                  <c:v>33.171606785799597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C-45B5-9619-14E4931D4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9950447"/>
        <c:axId val="349951887"/>
      </c:barChart>
      <c:catAx>
        <c:axId val="34995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951887"/>
        <c:crosses val="autoZero"/>
        <c:auto val="1"/>
        <c:lblAlgn val="ctr"/>
        <c:lblOffset val="100"/>
        <c:noMultiLvlLbl val="0"/>
      </c:catAx>
      <c:valAx>
        <c:axId val="34995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995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monthly_net_revenue by year_month and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Bangalore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2024-12</c:v>
              </c:pt>
              <c:pt idx="1">
                <c:v>2025-01</c:v>
              </c:pt>
              <c:pt idx="2">
                <c:v>2025-02</c:v>
              </c:pt>
              <c:pt idx="3">
                <c:v>2025-03</c:v>
              </c:pt>
              <c:pt idx="4">
                <c:v>2025-04</c:v>
              </c:pt>
              <c:pt idx="5">
                <c:v>2025-05</c:v>
              </c:pt>
              <c:pt idx="6">
                <c:v>2025-06</c:v>
              </c:pt>
              <c:pt idx="7">
                <c:v>2025-07</c:v>
              </c:pt>
              <c:pt idx="8">
                <c:v>2025-08</c:v>
              </c:pt>
              <c:pt idx="9">
                <c:v>2025-09</c:v>
              </c:pt>
              <c:pt idx="10">
                <c:v>2025-10</c:v>
              </c:pt>
              <c:pt idx="11">
                <c:v>2025-11</c:v>
              </c:pt>
              <c:pt idx="12">
                <c:v>2025-12</c:v>
              </c:pt>
            </c:strLit>
          </c:cat>
          <c:val>
            <c:numLit>
              <c:formatCode>General</c:formatCode>
              <c:ptCount val="13"/>
              <c:pt idx="0">
                <c:v>212852</c:v>
              </c:pt>
              <c:pt idx="1">
                <c:v>1509152</c:v>
              </c:pt>
              <c:pt idx="2">
                <c:v>1360200</c:v>
              </c:pt>
              <c:pt idx="3">
                <c:v>1522441</c:v>
              </c:pt>
              <c:pt idx="4">
                <c:v>1507273</c:v>
              </c:pt>
              <c:pt idx="5">
                <c:v>1547008</c:v>
              </c:pt>
              <c:pt idx="6">
                <c:v>1473052</c:v>
              </c:pt>
              <c:pt idx="7">
                <c:v>1504706</c:v>
              </c:pt>
              <c:pt idx="8">
                <c:v>1553995</c:v>
              </c:pt>
              <c:pt idx="9">
                <c:v>1470183</c:v>
              </c:pt>
              <c:pt idx="10">
                <c:v>1498248</c:v>
              </c:pt>
              <c:pt idx="11">
                <c:v>1493787</c:v>
              </c:pt>
              <c:pt idx="12">
                <c:v>1297209</c:v>
              </c:pt>
            </c:numLit>
          </c:val>
          <c:extLst>
            <c:ext xmlns:c16="http://schemas.microsoft.com/office/drawing/2014/chart" uri="{C3380CC4-5D6E-409C-BE32-E72D297353CC}">
              <c16:uniqueId val="{00000000-903B-4EBC-AED2-54411A979E5B}"/>
            </c:ext>
          </c:extLst>
        </c:ser>
        <c:ser>
          <c:idx val="1"/>
          <c:order val="1"/>
          <c:tx>
            <c:v>Hyderabad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2024-12</c:v>
              </c:pt>
              <c:pt idx="1">
                <c:v>2025-01</c:v>
              </c:pt>
              <c:pt idx="2">
                <c:v>2025-02</c:v>
              </c:pt>
              <c:pt idx="3">
                <c:v>2025-03</c:v>
              </c:pt>
              <c:pt idx="4">
                <c:v>2025-04</c:v>
              </c:pt>
              <c:pt idx="5">
                <c:v>2025-05</c:v>
              </c:pt>
              <c:pt idx="6">
                <c:v>2025-06</c:v>
              </c:pt>
              <c:pt idx="7">
                <c:v>2025-07</c:v>
              </c:pt>
              <c:pt idx="8">
                <c:v>2025-08</c:v>
              </c:pt>
              <c:pt idx="9">
                <c:v>2025-09</c:v>
              </c:pt>
              <c:pt idx="10">
                <c:v>2025-10</c:v>
              </c:pt>
              <c:pt idx="11">
                <c:v>2025-11</c:v>
              </c:pt>
              <c:pt idx="12">
                <c:v>2025-12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1510542</c:v>
              </c:pt>
              <c:pt idx="2">
                <c:v>1384722</c:v>
              </c:pt>
              <c:pt idx="3">
                <c:v>1462671</c:v>
              </c:pt>
              <c:pt idx="4">
                <c:v>1439036</c:v>
              </c:pt>
              <c:pt idx="5">
                <c:v>1497108</c:v>
              </c:pt>
              <c:pt idx="6">
                <c:v>1439165</c:v>
              </c:pt>
              <c:pt idx="7">
                <c:v>1485074</c:v>
              </c:pt>
              <c:pt idx="8">
                <c:v>1444242</c:v>
              </c:pt>
              <c:pt idx="9">
                <c:v>1423537</c:v>
              </c:pt>
              <c:pt idx="10">
                <c:v>1457844</c:v>
              </c:pt>
              <c:pt idx="11">
                <c:v>1440031</c:v>
              </c:pt>
              <c:pt idx="12">
                <c:v>1298128</c:v>
              </c:pt>
            </c:numLit>
          </c:val>
          <c:extLst>
            <c:ext xmlns:c16="http://schemas.microsoft.com/office/drawing/2014/chart" uri="{C3380CC4-5D6E-409C-BE32-E72D297353CC}">
              <c16:uniqueId val="{00000001-903B-4EBC-AED2-54411A979E5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4619967"/>
        <c:axId val="1694620447"/>
      </c:barChart>
      <c:catAx>
        <c:axId val="169461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20447"/>
        <c:crosses val="autoZero"/>
        <c:auto val="1"/>
        <c:lblAlgn val="ctr"/>
        <c:lblOffset val="100"/>
        <c:noMultiLvlLbl val="0"/>
      </c:catAx>
      <c:valAx>
        <c:axId val="169462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1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active</a:t>
            </a:r>
            <a:r>
              <a:rPr lang="en-US" baseline="0"/>
              <a:t> </a:t>
            </a:r>
            <a:r>
              <a:rPr lang="en-US"/>
              <a:t>customers by year</a:t>
            </a:r>
            <a:r>
              <a:rPr lang="en-US" baseline="0"/>
              <a:t> </a:t>
            </a:r>
            <a:r>
              <a:rPr lang="en-US"/>
              <a:t>month and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Bangalore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2024-12</c:v>
              </c:pt>
              <c:pt idx="1">
                <c:v>2025-01</c:v>
              </c:pt>
              <c:pt idx="2">
                <c:v>2025-02</c:v>
              </c:pt>
              <c:pt idx="3">
                <c:v>2025-03</c:v>
              </c:pt>
              <c:pt idx="4">
                <c:v>2025-04</c:v>
              </c:pt>
              <c:pt idx="5">
                <c:v>2025-05</c:v>
              </c:pt>
              <c:pt idx="6">
                <c:v>2025-06</c:v>
              </c:pt>
              <c:pt idx="7">
                <c:v>2025-07</c:v>
              </c:pt>
              <c:pt idx="8">
                <c:v>2025-08</c:v>
              </c:pt>
              <c:pt idx="9">
                <c:v>2025-09</c:v>
              </c:pt>
              <c:pt idx="10">
                <c:v>2025-10</c:v>
              </c:pt>
              <c:pt idx="11">
                <c:v>2025-11</c:v>
              </c:pt>
              <c:pt idx="12">
                <c:v>2025-12</c:v>
              </c:pt>
            </c:strLit>
          </c:cat>
          <c:val>
            <c:numLit>
              <c:formatCode>General</c:formatCode>
              <c:ptCount val="13"/>
              <c:pt idx="0">
                <c:v>800</c:v>
              </c:pt>
              <c:pt idx="1">
                <c:v>2688</c:v>
              </c:pt>
              <c:pt idx="2">
                <c:v>2617</c:v>
              </c:pt>
              <c:pt idx="3">
                <c:v>2669</c:v>
              </c:pt>
              <c:pt idx="4">
                <c:v>2665</c:v>
              </c:pt>
              <c:pt idx="5">
                <c:v>2702</c:v>
              </c:pt>
              <c:pt idx="6">
                <c:v>2642</c:v>
              </c:pt>
              <c:pt idx="7">
                <c:v>2661</c:v>
              </c:pt>
              <c:pt idx="8">
                <c:v>2664</c:v>
              </c:pt>
              <c:pt idx="9">
                <c:v>2609</c:v>
              </c:pt>
              <c:pt idx="10">
                <c:v>2650</c:v>
              </c:pt>
              <c:pt idx="11">
                <c:v>2669</c:v>
              </c:pt>
              <c:pt idx="12">
                <c:v>2557</c:v>
              </c:pt>
            </c:numLit>
          </c:val>
          <c:extLst>
            <c:ext xmlns:c16="http://schemas.microsoft.com/office/drawing/2014/chart" uri="{C3380CC4-5D6E-409C-BE32-E72D297353CC}">
              <c16:uniqueId val="{00000000-5A68-4002-BCC3-A97502BA8CD5}"/>
            </c:ext>
          </c:extLst>
        </c:ser>
        <c:ser>
          <c:idx val="1"/>
          <c:order val="1"/>
          <c:tx>
            <c:v>Hyderabad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3"/>
              <c:pt idx="0">
                <c:v>2024-12</c:v>
              </c:pt>
              <c:pt idx="1">
                <c:v>2025-01</c:v>
              </c:pt>
              <c:pt idx="2">
                <c:v>2025-02</c:v>
              </c:pt>
              <c:pt idx="3">
                <c:v>2025-03</c:v>
              </c:pt>
              <c:pt idx="4">
                <c:v>2025-04</c:v>
              </c:pt>
              <c:pt idx="5">
                <c:v>2025-05</c:v>
              </c:pt>
              <c:pt idx="6">
                <c:v>2025-06</c:v>
              </c:pt>
              <c:pt idx="7">
                <c:v>2025-07</c:v>
              </c:pt>
              <c:pt idx="8">
                <c:v>2025-08</c:v>
              </c:pt>
              <c:pt idx="9">
                <c:v>2025-09</c:v>
              </c:pt>
              <c:pt idx="10">
                <c:v>2025-10</c:v>
              </c:pt>
              <c:pt idx="11">
                <c:v>2025-11</c:v>
              </c:pt>
              <c:pt idx="12">
                <c:v>2025-12</c:v>
              </c:pt>
            </c:strLit>
          </c:cat>
          <c:val>
            <c:numLit>
              <c:formatCode>General</c:formatCode>
              <c:ptCount val="13"/>
              <c:pt idx="0">
                <c:v>817</c:v>
              </c:pt>
              <c:pt idx="1">
                <c:v>2672</c:v>
              </c:pt>
              <c:pt idx="2">
                <c:v>2620</c:v>
              </c:pt>
              <c:pt idx="3">
                <c:v>2686</c:v>
              </c:pt>
              <c:pt idx="4">
                <c:v>2671</c:v>
              </c:pt>
              <c:pt idx="5">
                <c:v>2695</c:v>
              </c:pt>
              <c:pt idx="6">
                <c:v>2650</c:v>
              </c:pt>
              <c:pt idx="7">
                <c:v>2671</c:v>
              </c:pt>
              <c:pt idx="8">
                <c:v>2659</c:v>
              </c:pt>
              <c:pt idx="9">
                <c:v>2661</c:v>
              </c:pt>
              <c:pt idx="10">
                <c:v>2688</c:v>
              </c:pt>
              <c:pt idx="11">
                <c:v>2676</c:v>
              </c:pt>
              <c:pt idx="12">
                <c:v>2537</c:v>
              </c:pt>
            </c:numLit>
          </c:val>
          <c:extLst>
            <c:ext xmlns:c16="http://schemas.microsoft.com/office/drawing/2014/chart" uri="{C3380CC4-5D6E-409C-BE32-E72D297353CC}">
              <c16:uniqueId val="{00000001-5A68-4002-BCC3-A97502BA8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755839"/>
        <c:axId val="355756319"/>
      </c:barChart>
      <c:catAx>
        <c:axId val="35575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56319"/>
        <c:crosses val="autoZero"/>
        <c:auto val="1"/>
        <c:lblAlgn val="ctr"/>
        <c:lblOffset val="100"/>
        <c:noMultiLvlLbl val="0"/>
      </c:catAx>
      <c:valAx>
        <c:axId val="35575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5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Delivery_Success_Rate Hyderabad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C25-4ADC-BE3B-AE7D1DF72993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F63-45BD-A0E0-3D48DFBD6C11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F63-45BD-A0E0-3D48DFBD6C1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Delivery_Success_rate!$B$4:$C$6</c:f>
              <c:multiLvlStrCache>
                <c:ptCount val="3"/>
                <c:lvl>
                  <c:pt idx="0">
                    <c:v>WEB</c:v>
                  </c:pt>
                  <c:pt idx="1">
                    <c:v>IOS</c:v>
                  </c:pt>
                  <c:pt idx="2">
                    <c:v>ANDROID</c:v>
                  </c:pt>
                </c:lvl>
                <c:lvl>
                  <c:pt idx="0">
                    <c:v>Hyderabad</c:v>
                  </c:pt>
                  <c:pt idx="1">
                    <c:v>Hyderabad</c:v>
                  </c:pt>
                  <c:pt idx="2">
                    <c:v>Hyderabad</c:v>
                  </c:pt>
                </c:lvl>
              </c:multiLvlStrCache>
            </c:multiLvlStrRef>
          </c:cat>
          <c:val>
            <c:numRef>
              <c:f>Delivery_Success_rate!$D$4:$D$6</c:f>
              <c:numCache>
                <c:formatCode>General</c:formatCode>
                <c:ptCount val="3"/>
                <c:pt idx="0">
                  <c:v>3836</c:v>
                </c:pt>
                <c:pt idx="1">
                  <c:v>19192</c:v>
                </c:pt>
                <c:pt idx="2">
                  <c:v>53661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3-45BD-A0E0-3D48DFBD6C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DELIVERY_SUCCESS_RATE BANGALORE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68-46D9-825D-EB02F91F605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753-46E2-AA49-4EF03309F3B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753-46E2-AA49-4EF03309F3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Delivery_Success_rate!$B$7:$C$9</c:f>
              <c:multiLvlStrCache>
                <c:ptCount val="3"/>
                <c:lvl>
                  <c:pt idx="0">
                    <c:v>WEB</c:v>
                  </c:pt>
                  <c:pt idx="1">
                    <c:v>ANDROID</c:v>
                  </c:pt>
                  <c:pt idx="2">
                    <c:v>IOS</c:v>
                  </c:pt>
                </c:lvl>
                <c:lvl>
                  <c:pt idx="0">
                    <c:v>Bangalore</c:v>
                  </c:pt>
                  <c:pt idx="1">
                    <c:v>Bangalore</c:v>
                  </c:pt>
                  <c:pt idx="2">
                    <c:v>Bangalore</c:v>
                  </c:pt>
                </c:lvl>
              </c:multiLvlStrCache>
            </c:multiLvlStrRef>
          </c:cat>
          <c:val>
            <c:numRef>
              <c:f>Delivery_Success_rate!$D$7:$D$9</c:f>
              <c:numCache>
                <c:formatCode>General</c:formatCode>
                <c:ptCount val="3"/>
                <c:pt idx="0">
                  <c:v>3809</c:v>
                </c:pt>
                <c:pt idx="1">
                  <c:v>53154</c:v>
                </c:pt>
                <c:pt idx="2">
                  <c:v>19049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3-46E2-AA49-4EF03309F3B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Bangalore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7CE-481E-A8A2-015C60A5D4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'Raining Vs Not Raining'!$B$4:$C$5</c:f>
              <c:multiLvlStrCache>
                <c:ptCount val="2"/>
                <c:lvl>
                  <c:pt idx="0">
                    <c:v>FALSE</c:v>
                  </c:pt>
                  <c:pt idx="1">
                    <c:v>TRUE</c:v>
                  </c:pt>
                </c:lvl>
                <c:lvl>
                  <c:pt idx="0">
                    <c:v>Bangalore</c:v>
                  </c:pt>
                  <c:pt idx="1">
                    <c:v>Bangalore</c:v>
                  </c:pt>
                </c:lvl>
              </c:multiLvlStrCache>
            </c:multiLvlStrRef>
          </c:cat>
          <c:val>
            <c:numRef>
              <c:f>'Raining Vs Not Raining'!$E$4:$E$5</c:f>
              <c:numCache>
                <c:formatCode>General</c:formatCode>
                <c:ptCount val="2"/>
                <c:pt idx="0">
                  <c:v>33.658000000000001</c:v>
                </c:pt>
                <c:pt idx="1">
                  <c:v>42.152000000000001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E-481E-A8A2-015C60A5D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1797311"/>
        <c:axId val="541799711"/>
      </c:barChart>
      <c:catAx>
        <c:axId val="541797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Raining Vs Not Raining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99711"/>
        <c:crosses val="autoZero"/>
        <c:auto val="1"/>
        <c:lblAlgn val="ctr"/>
        <c:lblOffset val="100"/>
        <c:noMultiLvlLbl val="0"/>
      </c:catAx>
      <c:valAx>
        <c:axId val="54179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9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Hyderabad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E0-439E-987E-0428BAA51BE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2E0-439E-987E-0428BAA51B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'Raining Vs Not Raining'!$B$6:$C$7</c:f>
              <c:multiLvlStrCache>
                <c:ptCount val="2"/>
                <c:lvl>
                  <c:pt idx="0">
                    <c:v>FALSE</c:v>
                  </c:pt>
                  <c:pt idx="1">
                    <c:v>TRUE</c:v>
                  </c:pt>
                </c:lvl>
                <c:lvl>
                  <c:pt idx="0">
                    <c:v>Hyderabad</c:v>
                  </c:pt>
                  <c:pt idx="1">
                    <c:v>Hyderabad</c:v>
                  </c:pt>
                </c:lvl>
              </c:multiLvlStrCache>
            </c:multiLvlStrRef>
          </c:cat>
          <c:val>
            <c:numRef>
              <c:f>'Raining Vs Not Raining'!$E$6:$E$7</c:f>
              <c:numCache>
                <c:formatCode>General</c:formatCode>
                <c:ptCount val="2"/>
                <c:pt idx="0">
                  <c:v>31.646999999999998</c:v>
                </c:pt>
                <c:pt idx="1">
                  <c:v>40.145000000000003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0-439E-987E-0428BAA51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41798271"/>
        <c:axId val="541801631"/>
      </c:barChart>
      <c:catAx>
        <c:axId val="541798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Raining Vs Not Raining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01631"/>
        <c:crosses val="autoZero"/>
        <c:auto val="1"/>
        <c:lblAlgn val="ctr"/>
        <c:lblOffset val="100"/>
        <c:noMultiLvlLbl val="0"/>
      </c:catAx>
      <c:valAx>
        <c:axId val="541801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9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campaigns in Bangalore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('Exposed orders'!$B$5:$C$5,'Exposed orders'!$B$8:$C$9,'Exposed orders'!$B$11:$C$11)</c:f>
              <c:multiLvlStrCache>
                <c:ptCount val="4"/>
                <c:lvl>
                  <c:pt idx="0">
                    <c:v>Bangalore</c:v>
                  </c:pt>
                  <c:pt idx="1">
                    <c:v>Bangalore</c:v>
                  </c:pt>
                  <c:pt idx="2">
                    <c:v>Bangalore</c:v>
                  </c:pt>
                  <c:pt idx="3">
                    <c:v>Bangalore</c:v>
                  </c:pt>
                </c:lvl>
                <c:lvl>
                  <c:pt idx="0">
                    <c:v>POPUP_202</c:v>
                  </c:pt>
                  <c:pt idx="1">
                    <c:v>PUSH_101</c:v>
                  </c:pt>
                  <c:pt idx="2">
                    <c:v>EMAIL_303</c:v>
                  </c:pt>
                  <c:pt idx="3">
                    <c:v>PAID_404</c:v>
                  </c:pt>
                </c:lvl>
              </c:multiLvlStrCache>
            </c:multiLvlStrRef>
          </c:cat>
          <c:val>
            <c:numRef>
              <c:f>('Exposed orders'!$D$5,'Exposed orders'!$D$8:$D$9,'Exposed orders'!$D$11)</c:f>
              <c:numCache>
                <c:formatCode>General</c:formatCode>
                <c:ptCount val="4"/>
                <c:pt idx="0">
                  <c:v>6907</c:v>
                </c:pt>
                <c:pt idx="1">
                  <c:v>6921</c:v>
                </c:pt>
                <c:pt idx="2">
                  <c:v>6977</c:v>
                </c:pt>
                <c:pt idx="3">
                  <c:v>6826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E-444D-8EB0-AC86FB626AED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('Exposed orders'!$B$5:$C$5,'Exposed orders'!$B$8:$C$9,'Exposed orders'!$B$11:$C$11)</c:f>
              <c:multiLvlStrCache>
                <c:ptCount val="4"/>
                <c:lvl>
                  <c:pt idx="0">
                    <c:v>Bangalore</c:v>
                  </c:pt>
                  <c:pt idx="1">
                    <c:v>Bangalore</c:v>
                  </c:pt>
                  <c:pt idx="2">
                    <c:v>Bangalore</c:v>
                  </c:pt>
                  <c:pt idx="3">
                    <c:v>Bangalore</c:v>
                  </c:pt>
                </c:lvl>
                <c:lvl>
                  <c:pt idx="0">
                    <c:v>POPUP_202</c:v>
                  </c:pt>
                  <c:pt idx="1">
                    <c:v>PUSH_101</c:v>
                  </c:pt>
                  <c:pt idx="2">
                    <c:v>EMAIL_303</c:v>
                  </c:pt>
                  <c:pt idx="3">
                    <c:v>PAID_404</c:v>
                  </c:pt>
                </c:lvl>
              </c:multiLvlStrCache>
            </c:multiLvlStrRef>
          </c:cat>
          <c:val>
            <c:numRef>
              <c:f>('Exposed orders'!$E$5,'Exposed orders'!$E$8:$E$9,'Exposed orders'!$E$11)</c:f>
              <c:numCache>
                <c:formatCode>General</c:formatCode>
                <c:ptCount val="4"/>
                <c:pt idx="0">
                  <c:v>1436</c:v>
                </c:pt>
                <c:pt idx="1">
                  <c:v>1541</c:v>
                </c:pt>
                <c:pt idx="2">
                  <c:v>1588</c:v>
                </c:pt>
                <c:pt idx="3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E-444D-8EB0-AC86FB626A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0718671"/>
        <c:axId val="580715311"/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('Exposed orders'!$B$5:$C$5,'Exposed orders'!$B$8:$C$9,'Exposed orders'!$B$11:$C$11)</c:f>
              <c:multiLvlStrCache>
                <c:ptCount val="4"/>
                <c:lvl>
                  <c:pt idx="0">
                    <c:v>Bangalore</c:v>
                  </c:pt>
                  <c:pt idx="1">
                    <c:v>Bangalore</c:v>
                  </c:pt>
                  <c:pt idx="2">
                    <c:v>Bangalore</c:v>
                  </c:pt>
                  <c:pt idx="3">
                    <c:v>Bangalore</c:v>
                  </c:pt>
                </c:lvl>
                <c:lvl>
                  <c:pt idx="0">
                    <c:v>POPUP_202</c:v>
                  </c:pt>
                  <c:pt idx="1">
                    <c:v>PUSH_101</c:v>
                  </c:pt>
                  <c:pt idx="2">
                    <c:v>EMAIL_303</c:v>
                  </c:pt>
                  <c:pt idx="3">
                    <c:v>PAID_404</c:v>
                  </c:pt>
                </c:lvl>
              </c:multiLvlStrCache>
            </c:multiLvlStrRef>
          </c:cat>
          <c:val>
            <c:numRef>
              <c:f>('Exposed orders'!$F$5,'Exposed orders'!$F$8:$F$9,'Exposed orders'!$F$11)</c:f>
              <c:numCache>
                <c:formatCode>0.00%</c:formatCode>
                <c:ptCount val="4"/>
                <c:pt idx="0">
                  <c:v>0.2079</c:v>
                </c:pt>
                <c:pt idx="1">
                  <c:v>0.22270000000000001</c:v>
                </c:pt>
                <c:pt idx="2">
                  <c:v>0.2276</c:v>
                </c:pt>
                <c:pt idx="3">
                  <c:v>0.22520000000000001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E-444D-8EB0-AC86FB626A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0707631"/>
        <c:axId val="580707151"/>
      </c:lineChart>
      <c:catAx>
        <c:axId val="58071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715311"/>
        <c:crosses val="autoZero"/>
        <c:auto val="1"/>
        <c:lblAlgn val="ctr"/>
        <c:lblOffset val="100"/>
        <c:noMultiLvlLbl val="0"/>
      </c:catAx>
      <c:valAx>
        <c:axId val="58071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718671"/>
        <c:crosses val="autoZero"/>
        <c:crossBetween val="between"/>
      </c:valAx>
      <c:valAx>
        <c:axId val="58070715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707631"/>
        <c:crosses val="max"/>
        <c:crossBetween val="between"/>
      </c:valAx>
      <c:catAx>
        <c:axId val="5807076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0707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campaigns in Hyderabad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('Exposed orders'!$B$6:$C$7,'Exposed orders'!$B$10:$C$10,'Exposed orders'!$B$12:$C$12)</c:f>
              <c:multiLvlStrCache>
                <c:ptCount val="4"/>
                <c:lvl>
                  <c:pt idx="0">
                    <c:v>Hyderabad</c:v>
                  </c:pt>
                  <c:pt idx="1">
                    <c:v>Hyderabad</c:v>
                  </c:pt>
                  <c:pt idx="2">
                    <c:v>Hyderabad</c:v>
                  </c:pt>
                  <c:pt idx="3">
                    <c:v>Hyderabad</c:v>
                  </c:pt>
                </c:lvl>
                <c:lvl>
                  <c:pt idx="0">
                    <c:v>POPUP_202</c:v>
                  </c:pt>
                  <c:pt idx="1">
                    <c:v>PUSH_101</c:v>
                  </c:pt>
                  <c:pt idx="2">
                    <c:v>EMAIL_303</c:v>
                  </c:pt>
                  <c:pt idx="3">
                    <c:v>PAID_404</c:v>
                  </c:pt>
                </c:lvl>
              </c:multiLvlStrCache>
            </c:multiLvlStrRef>
          </c:cat>
          <c:val>
            <c:numRef>
              <c:f>('Exposed orders'!$D$6:$D$7,'Exposed orders'!$D$10,'Exposed orders'!$D$12)</c:f>
              <c:numCache>
                <c:formatCode>General</c:formatCode>
                <c:ptCount val="4"/>
                <c:pt idx="0">
                  <c:v>6925</c:v>
                </c:pt>
                <c:pt idx="1">
                  <c:v>6955</c:v>
                </c:pt>
                <c:pt idx="2">
                  <c:v>6924</c:v>
                </c:pt>
                <c:pt idx="3">
                  <c:v>6907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1-4F37-97F1-0615A455DBF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('Exposed orders'!$B$6:$C$7,'Exposed orders'!$B$10:$C$10,'Exposed orders'!$B$12:$C$12)</c:f>
              <c:multiLvlStrCache>
                <c:ptCount val="4"/>
                <c:lvl>
                  <c:pt idx="0">
                    <c:v>Hyderabad</c:v>
                  </c:pt>
                  <c:pt idx="1">
                    <c:v>Hyderabad</c:v>
                  </c:pt>
                  <c:pt idx="2">
                    <c:v>Hyderabad</c:v>
                  </c:pt>
                  <c:pt idx="3">
                    <c:v>Hyderabad</c:v>
                  </c:pt>
                </c:lvl>
                <c:lvl>
                  <c:pt idx="0">
                    <c:v>POPUP_202</c:v>
                  </c:pt>
                  <c:pt idx="1">
                    <c:v>PUSH_101</c:v>
                  </c:pt>
                  <c:pt idx="2">
                    <c:v>EMAIL_303</c:v>
                  </c:pt>
                  <c:pt idx="3">
                    <c:v>PAID_404</c:v>
                  </c:pt>
                </c:lvl>
              </c:multiLvlStrCache>
            </c:multiLvlStrRef>
          </c:cat>
          <c:val>
            <c:numRef>
              <c:f>('Exposed orders'!$E$6:$E$7,'Exposed orders'!$E$10,'Exposed orders'!$E$12)</c:f>
              <c:numCache>
                <c:formatCode>General</c:formatCode>
                <c:ptCount val="4"/>
                <c:pt idx="0">
                  <c:v>1514</c:v>
                </c:pt>
                <c:pt idx="1">
                  <c:v>1541</c:v>
                </c:pt>
                <c:pt idx="2">
                  <c:v>1507</c:v>
                </c:pt>
                <c:pt idx="3">
                  <c:v>1518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41-4F37-97F1-0615A455DB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487519"/>
        <c:axId val="581477919"/>
      </c:barChart>
      <c:lineChart>
        <c:grouping val="standard"/>
        <c:varyColors val="0"/>
        <c:ser>
          <c:idx val="2"/>
          <c:order val="2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('Exposed orders'!$B$6:$C$7,'Exposed orders'!$B$10:$C$10,'Exposed orders'!$B$12:$C$12)</c:f>
              <c:multiLvlStrCache>
                <c:ptCount val="4"/>
                <c:lvl>
                  <c:pt idx="0">
                    <c:v>Hyderabad</c:v>
                  </c:pt>
                  <c:pt idx="1">
                    <c:v>Hyderabad</c:v>
                  </c:pt>
                  <c:pt idx="2">
                    <c:v>Hyderabad</c:v>
                  </c:pt>
                  <c:pt idx="3">
                    <c:v>Hyderabad</c:v>
                  </c:pt>
                </c:lvl>
                <c:lvl>
                  <c:pt idx="0">
                    <c:v>POPUP_202</c:v>
                  </c:pt>
                  <c:pt idx="1">
                    <c:v>PUSH_101</c:v>
                  </c:pt>
                  <c:pt idx="2">
                    <c:v>EMAIL_303</c:v>
                  </c:pt>
                  <c:pt idx="3">
                    <c:v>PAID_404</c:v>
                  </c:pt>
                </c:lvl>
              </c:multiLvlStrCache>
            </c:multiLvlStrRef>
          </c:cat>
          <c:val>
            <c:numRef>
              <c:f>('Exposed orders'!$F$6:$F$7,'Exposed orders'!$F$10,'Exposed orders'!$F$12)</c:f>
              <c:numCache>
                <c:formatCode>0.00%</c:formatCode>
                <c:ptCount val="4"/>
                <c:pt idx="0">
                  <c:v>0.21859999999999999</c:v>
                </c:pt>
                <c:pt idx="1">
                  <c:v>0.22159999999999999</c:v>
                </c:pt>
                <c:pt idx="2">
                  <c:v>0.21759999999999999</c:v>
                </c:pt>
                <c:pt idx="3">
                  <c:v>0.2198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41-4F37-97F1-0615A455DB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81479359"/>
        <c:axId val="581478879"/>
      </c:lineChart>
      <c:catAx>
        <c:axId val="58148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477919"/>
        <c:crosses val="autoZero"/>
        <c:auto val="1"/>
        <c:lblAlgn val="ctr"/>
        <c:lblOffset val="100"/>
        <c:noMultiLvlLbl val="0"/>
      </c:catAx>
      <c:valAx>
        <c:axId val="5814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487519"/>
        <c:crosses val="autoZero"/>
        <c:crossBetween val="between"/>
      </c:valAx>
      <c:valAx>
        <c:axId val="58147887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479359"/>
        <c:crosses val="max"/>
        <c:crossBetween val="between"/>
      </c:valAx>
      <c:catAx>
        <c:axId val="5814793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1478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Campaign vs no campaign</a:t>
            </a:r>
          </a:p>
          <a:p>
            <a:pPr>
              <a:defRPr/>
            </a:pPr>
            <a:r>
              <a:rPr lang="en-US"/>
              <a:t>HYderabad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4147640791476407"/>
          <c:y val="3.20898515844364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'Campaign vs no campaign'!$D$6</c:f>
              <c:strCache>
                <c:ptCount val="1"/>
                <c:pt idx="0">
                  <c:v>Total_orders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64B-4387-A7D8-8BDE076F49C2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C64B-4387-A7D8-8BDE076F49C2}"/>
              </c:ext>
            </c:extLst>
          </c:dPt>
          <c:dLbls>
            <c:dLbl>
              <c:idx val="0"/>
              <c:layout>
                <c:manualLayout>
                  <c:x val="3.4987894832111503E-2"/>
                  <c:y val="-0.13048336906604624"/>
                </c:manualLayout>
              </c:layout>
              <c:tx>
                <c:rich>
                  <a:bodyPr/>
                  <a:lstStyle/>
                  <a:p>
                    <a:fld id="{097ABC01-C841-4501-A376-5A5951BDD82E}" type="CATEGORYNAME">
                      <a:rPr lang="en-US" sz="1100" b="1">
                        <a:solidFill>
                          <a:srgbClr val="FF0000"/>
                        </a:solidFill>
                      </a:rPr>
                      <a:pPr/>
                      <a:t>[CATEGORY NAME]</a:t>
                    </a:fld>
                    <a:r>
                      <a:rPr lang="en-US" sz="1100" b="1" baseline="0">
                        <a:solidFill>
                          <a:srgbClr val="FF0000"/>
                        </a:solidFill>
                      </a:rPr>
                      <a:t>, </a:t>
                    </a:r>
                    <a:fld id="{EB0B4ABD-7B4A-45FE-82CD-97F8459B6D60}" type="VALUE">
                      <a:rPr lang="en-US" sz="1100" b="1" baseline="0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r>
                      <a:rPr lang="en-US" sz="1100" b="1" baseline="0">
                        <a:solidFill>
                          <a:srgbClr val="FF0000"/>
                        </a:solidFill>
                      </a:rPr>
                      <a:t>, </a:t>
                    </a:r>
                    <a:fld id="{7B18A173-7C9A-41C8-BEE8-D76BCD1FB562}" type="PERCENTAGE">
                      <a:rPr lang="en-US" sz="1100" b="1" baseline="0">
                        <a:solidFill>
                          <a:srgbClr val="FF0000"/>
                        </a:solidFill>
                      </a:rPr>
                      <a:pPr/>
                      <a:t>[PERCENTAGE]</a:t>
                    </a:fld>
                    <a:endParaRPr lang="en-US" sz="1100" b="1" baseline="0">
                      <a:solidFill>
                        <a:srgbClr val="FF0000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64B-4387-A7D8-8BDE076F49C2}"/>
                </c:ext>
              </c:extLst>
            </c:dLbl>
            <c:dLbl>
              <c:idx val="1"/>
              <c:layout>
                <c:manualLayout>
                  <c:x val="-2.3118608018825232E-2"/>
                  <c:y val="-4.6232682453154893E-2"/>
                </c:manualLayout>
              </c:layout>
              <c:tx>
                <c:rich>
                  <a:bodyPr/>
                  <a:lstStyle/>
                  <a:p>
                    <a:fld id="{706836D8-5393-4200-ADFE-A780FD99AC41}" type="VALUE">
                      <a:rPr lang="en-US" sz="1100" b="1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r>
                      <a:rPr lang="en-US" sz="1100" b="1">
                        <a:solidFill>
                          <a:srgbClr val="FF0000"/>
                        </a:solidFill>
                      </a:rPr>
                      <a:t>, </a:t>
                    </a:r>
                    <a:fld id="{E2A2B0EB-8D69-4757-9F26-1FEEBE573420}" type="PERCENTAGE">
                      <a:rPr lang="en-US" sz="1100" b="1">
                        <a:solidFill>
                          <a:srgbClr val="FF0000"/>
                        </a:solidFill>
                      </a:rPr>
                      <a:pPr/>
                      <a:t>[PERCENTAGE]</a:t>
                    </a:fld>
                    <a:endParaRPr lang="en-US" sz="1100" b="1">
                      <a:solidFill>
                        <a:srgbClr val="FF0000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64B-4387-A7D8-8BDE076F49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('Campaign vs no campaign'!$B$7:$C$7,'Campaign vs no campaign'!$B$9:$C$9)</c:f>
              <c:multiLvlStrCache>
                <c:ptCount val="2"/>
                <c:lvl>
                  <c:pt idx="0">
                    <c:v>FALSE</c:v>
                  </c:pt>
                  <c:pt idx="1">
                    <c:v>TRUE</c:v>
                  </c:pt>
                </c:lvl>
                <c:lvl>
                  <c:pt idx="0">
                    <c:v>Hyderabad</c:v>
                  </c:pt>
                  <c:pt idx="1">
                    <c:v>Hyderabad</c:v>
                  </c:pt>
                </c:lvl>
              </c:multiLvlStrCache>
            </c:multiLvlStrRef>
          </c:cat>
          <c:val>
            <c:numRef>
              <c:f>('Campaign vs no campaign'!$D$7,'Campaign vs no campaign'!$D$9)</c:f>
              <c:numCache>
                <c:formatCode>General</c:formatCode>
                <c:ptCount val="2"/>
                <c:pt idx="0">
                  <c:v>51808</c:v>
                </c:pt>
                <c:pt idx="1">
                  <c:v>27711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B-4387-A7D8-8BDE076F49C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7030A0"/>
                </a:solidFill>
              </a:rPr>
              <a:t>Campaign vs no campaign</a:t>
            </a:r>
          </a:p>
          <a:p>
            <a:pPr>
              <a:defRPr/>
            </a:pPr>
            <a:r>
              <a:rPr lang="en-US">
                <a:solidFill>
                  <a:srgbClr val="7030A0"/>
                </a:solidFill>
              </a:rPr>
              <a:t>BANGALORE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18340053763440858"/>
          <c:y val="1.23762376237623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2-435C-96C8-F3540ED1DA2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A852-435C-96C8-F3540ED1DA23}"/>
              </c:ext>
            </c:extLst>
          </c:dPt>
          <c:dLbls>
            <c:dLbl>
              <c:idx val="0"/>
              <c:layout>
                <c:manualLayout>
                  <c:x val="2.8700999068664679E-2"/>
                  <c:y val="-0.12027299186611583"/>
                </c:manualLayout>
              </c:layout>
              <c:tx>
                <c:rich>
                  <a:bodyPr/>
                  <a:lstStyle/>
                  <a:p>
                    <a:fld id="{AA084B97-A6E1-4AA7-BF58-32648CC8E1B3}" type="CATEGORYNAME">
                      <a:rPr lang="en-US" sz="1100">
                        <a:solidFill>
                          <a:srgbClr val="FF0000"/>
                        </a:solidFill>
                      </a:rPr>
                      <a:pPr/>
                      <a:t>[CATEGORY NAME]</a:t>
                    </a:fld>
                    <a:r>
                      <a:rPr lang="en-US" sz="1100" baseline="0">
                        <a:solidFill>
                          <a:srgbClr val="FF0000"/>
                        </a:solidFill>
                      </a:rPr>
                      <a:t>, </a:t>
                    </a:r>
                    <a:fld id="{B0B82556-0107-47A7-B9C5-842DCC96F9BE}" type="VALUE">
                      <a:rPr lang="en-US" sz="1100" baseline="0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r>
                      <a:rPr lang="en-US" sz="1100" baseline="0">
                        <a:solidFill>
                          <a:srgbClr val="FF0000"/>
                        </a:solidFill>
                      </a:rPr>
                      <a:t>, </a:t>
                    </a:r>
                    <a:fld id="{25CE5DF6-E9F2-4C9B-89B7-29850BB2E5A3}" type="PERCENTAGE">
                      <a:rPr lang="en-US" sz="1100" baseline="0">
                        <a:solidFill>
                          <a:srgbClr val="FF0000"/>
                        </a:solidFill>
                      </a:rPr>
                      <a:pPr/>
                      <a:t>[PERCENTAGE]</a:t>
                    </a:fld>
                    <a:endParaRPr lang="en-US" sz="1100" baseline="0">
                      <a:solidFill>
                        <a:srgbClr val="FF0000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852-435C-96C8-F3540ED1DA23}"/>
                </c:ext>
              </c:extLst>
            </c:dLbl>
            <c:dLbl>
              <c:idx val="1"/>
              <c:layout>
                <c:manualLayout>
                  <c:x val="-4.641753450173567E-2"/>
                  <c:y val="-0.14611301681349242"/>
                </c:manualLayout>
              </c:layout>
              <c:tx>
                <c:rich>
                  <a:bodyPr/>
                  <a:lstStyle/>
                  <a:p>
                    <a:fld id="{6DEA2C12-B81C-4215-ADD2-4136764077C4}" type="CATEGORYNAME">
                      <a:rPr lang="en-US" sz="1100">
                        <a:solidFill>
                          <a:srgbClr val="FF0000"/>
                        </a:solidFill>
                      </a:rPr>
                      <a:pPr/>
                      <a:t>[CATEGORY NAME]</a:t>
                    </a:fld>
                    <a:r>
                      <a:rPr lang="en-US" sz="1100" baseline="0">
                        <a:solidFill>
                          <a:srgbClr val="FF0000"/>
                        </a:solidFill>
                      </a:rPr>
                      <a:t>, </a:t>
                    </a:r>
                    <a:fld id="{A9F79DD2-8828-456E-BDB7-0047E8660622}" type="VALUE">
                      <a:rPr lang="en-US" sz="1100" baseline="0">
                        <a:solidFill>
                          <a:srgbClr val="FF0000"/>
                        </a:solidFill>
                      </a:rPr>
                      <a:pPr/>
                      <a:t>[VALUE]</a:t>
                    </a:fld>
                    <a:r>
                      <a:rPr lang="en-US" sz="1100" baseline="0">
                        <a:solidFill>
                          <a:srgbClr val="FF0000"/>
                        </a:solidFill>
                      </a:rPr>
                      <a:t>, </a:t>
                    </a:r>
                    <a:fld id="{1D70D503-EB6D-4CF9-BE33-5EF8D98B1DC7}" type="PERCENTAGE">
                      <a:rPr lang="en-US" sz="1100" baseline="0">
                        <a:solidFill>
                          <a:srgbClr val="FF0000"/>
                        </a:solidFill>
                      </a:rPr>
                      <a:pPr/>
                      <a:t>[PERCENTAGE]</a:t>
                    </a:fld>
                    <a:endParaRPr lang="en-US" sz="1100" baseline="0">
                      <a:solidFill>
                        <a:srgbClr val="FF0000"/>
                      </a:solidFill>
                    </a:endParaRPr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852-435C-96C8-F3540ED1DA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('Campaign vs no campaign'!$B$8:$C$8,'Campaign vs no campaign'!$B$10:$C$10)</c:f>
              <c:multiLvlStrCache>
                <c:ptCount val="2"/>
                <c:lvl>
                  <c:pt idx="0">
                    <c:v>FALSE</c:v>
                  </c:pt>
                  <c:pt idx="1">
                    <c:v>TRUE</c:v>
                  </c:pt>
                </c:lvl>
                <c:lvl>
                  <c:pt idx="0">
                    <c:v>Bangalore</c:v>
                  </c:pt>
                  <c:pt idx="1">
                    <c:v>Bangalore</c:v>
                  </c:pt>
                </c:lvl>
              </c:multiLvlStrCache>
            </c:multiLvlStrRef>
          </c:cat>
          <c:val>
            <c:numRef>
              <c:f>('Campaign vs no campaign'!$D$8,'Campaign vs no campaign'!$D$10)</c:f>
              <c:numCache>
                <c:formatCode>General</c:formatCode>
                <c:ptCount val="2"/>
                <c:pt idx="0">
                  <c:v>51250</c:v>
                </c:pt>
                <c:pt idx="1">
                  <c:v>27631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2-435C-96C8-F3540ED1DA2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'Coupon performance'!$I$8</c:f>
              <c:strCache>
                <c:ptCount val="1"/>
                <c:pt idx="0">
                  <c:v>total_coupon_burn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E80-4421-98A2-E3A877F53B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E80-4421-98A2-E3A877F53B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E80-4421-98A2-E3A877F53B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E80-4421-98A2-E3A877F53B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E80-4421-98A2-E3A877F53B6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E80-4421-98A2-E3A877F53B6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BE80-4421-98A2-E3A877F53B6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E80-4421-98A2-E3A877F53B6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BE80-4421-98A2-E3A877F53B6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E80-4421-98A2-E3A877F53B6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'Coupon performance'!$B$9:$B$13</c:f>
              <c:strCache>
                <c:ptCount val="5"/>
                <c:pt idx="0">
                  <c:v>WELCOME50</c:v>
                </c:pt>
                <c:pt idx="1">
                  <c:v>SAVE80</c:v>
                </c:pt>
                <c:pt idx="2">
                  <c:v>FREESHIP</c:v>
                </c:pt>
                <c:pt idx="3">
                  <c:v>PAYDAY15</c:v>
                </c:pt>
                <c:pt idx="4">
                  <c:v>WEEKEND20</c:v>
                </c:pt>
              </c:strCache>
            </c:strRef>
          </c:cat>
          <c:val>
            <c:numRef>
              <c:f>'Coupon performance'!$I$9:$I$13</c:f>
              <c:numCache>
                <c:formatCode>General</c:formatCode>
                <c:ptCount val="5"/>
                <c:pt idx="0">
                  <c:v>556442</c:v>
                </c:pt>
                <c:pt idx="1">
                  <c:v>248560</c:v>
                </c:pt>
                <c:pt idx="2">
                  <c:v>214480</c:v>
                </c:pt>
                <c:pt idx="3">
                  <c:v>193295</c:v>
                </c:pt>
                <c:pt idx="4">
                  <c:v>180779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0-4421-98A2-E3A877F53B6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'Coupon performance'!$H$8</c:f>
              <c:strCache>
                <c:ptCount val="1"/>
                <c:pt idx="0">
                  <c:v>coupon_orders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'Coupon performance'!$C$9:$C$13</c:f>
              <c:strCache>
                <c:ptCount val="5"/>
                <c:pt idx="0">
                  <c:v>Welcome 50% (cap 150)</c:v>
                </c:pt>
                <c:pt idx="1">
                  <c:v>Flat 80 off</c:v>
                </c:pt>
                <c:pt idx="2">
                  <c:v>Free Delivery (flat 40)</c:v>
                </c:pt>
                <c:pt idx="3">
                  <c:v>Payday 15% (cap 120)</c:v>
                </c:pt>
                <c:pt idx="4">
                  <c:v>Weekend 20% (cap 100)</c:v>
                </c:pt>
              </c:strCache>
            </c:strRef>
          </c:cat>
          <c:val>
            <c:numRef>
              <c:f>'Coupon performance'!$H$9:$H$13</c:f>
              <c:numCache>
                <c:formatCode>General</c:formatCode>
                <c:ptCount val="5"/>
                <c:pt idx="0">
                  <c:v>8758</c:v>
                </c:pt>
                <c:pt idx="1">
                  <c:v>8653</c:v>
                </c:pt>
                <c:pt idx="2">
                  <c:v>8614</c:v>
                </c:pt>
                <c:pt idx="3">
                  <c:v>8678</c:v>
                </c:pt>
                <c:pt idx="4">
                  <c:v>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1-468C-AB7B-3013879B0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5546767"/>
        <c:axId val="465553967"/>
      </c:barChart>
      <c:catAx>
        <c:axId val="465546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53967"/>
        <c:crosses val="autoZero"/>
        <c:auto val="1"/>
        <c:lblAlgn val="ctr"/>
        <c:lblOffset val="100"/>
        <c:noMultiLvlLbl val="0"/>
      </c:catAx>
      <c:valAx>
        <c:axId val="46555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54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Net Revenue by Restaurant in Bangalore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B050"/>
              </a:solidFill>
              <a:latin typeface="Calibri" panose="020F0502020204030204"/>
            </a:rPr>
            <a:t>Net Revenue by Restaurant in Bangalore</a:t>
          </a:r>
        </a:p>
      </cx:txPr>
    </cx:title>
    <cx:plotArea>
      <cx:plotAreaRegion>
        <cx:series layoutId="funnel" uniqueId="{2CC5A544-1144-4BF3-93A1-A9BF4646712A}">
          <cx:tx>
            <cx:txData>
              <cx:f>_xlchart.v2.1</cx:f>
              <cx:v>net_revenue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"/>
        <cx:title>
          <cx:tx>
            <cx:txData>
              <cx:v>Restaurant Names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Calibri" panose="020F0502020204030204"/>
                </a:rPr>
                <a:t>Restaurant Names</a:t>
              </a:r>
            </a:p>
          </cx:txPr>
        </cx:title>
        <cx:tickLabels/>
      </cx:axis>
    </cx:plotArea>
  </cx:chart>
  <cx:spPr>
    <a:ln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_xlchart.v2.4</cx:f>
      </cx:numDim>
    </cx:data>
  </cx:chartData>
  <cx:chart>
    <cx:title pos="t" align="ctr" overlay="0">
      <cx:tx>
        <cx:txData>
          <cx:v>Net Revenue by Restaurant in Hyderabad</cx:v>
        </cx:txData>
      </cx:tx>
      <cx:spPr>
        <a:solidFill>
          <a:schemeClr val="bg1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FF0000"/>
              </a:solidFill>
              <a:latin typeface="Calibri" panose="020F0502020204030204"/>
            </a:rPr>
            <a:t>Net Revenue by Restaurant in Hyderabad</a:t>
          </a:r>
        </a:p>
      </cx:txPr>
    </cx:title>
    <cx:plotArea>
      <cx:plotAreaRegion>
        <cx:series layoutId="funnel" uniqueId="{9B6D9748-9D28-42ED-B431-971BA476FA89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tle>
          <cx:tx>
            <cx:txData>
              <cx:v>Restaurent Names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100" b="1" i="0" u="none" strike="noStrike" baseline="0">
                  <a:solidFill>
                    <a:srgbClr val="FF0000"/>
                  </a:solidFill>
                  <a:latin typeface="Calibri" panose="020F0502020204030204"/>
                </a:rPr>
                <a:t>Restaurent Names</a:t>
              </a:r>
            </a:p>
          </cx:txPr>
        </cx:title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3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10270</xdr:colOff>
      <xdr:row>3</xdr:row>
      <xdr:rowOff>2154</xdr:rowOff>
    </xdr:from>
    <xdr:to>
      <xdr:col>11</xdr:col>
      <xdr:colOff>315070</xdr:colOff>
      <xdr:row>18</xdr:row>
      <xdr:rowOff>2153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D28A9C-540E-6251-93FD-416BB0F74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2</xdr:row>
      <xdr:rowOff>179070</xdr:rowOff>
    </xdr:from>
    <xdr:to>
      <xdr:col>11</xdr:col>
      <xdr:colOff>320040</xdr:colOff>
      <xdr:row>17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F44771-1695-0FE7-AB08-54C6126D3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4</xdr:row>
      <xdr:rowOff>38100</xdr:rowOff>
    </xdr:from>
    <xdr:to>
      <xdr:col>15</xdr:col>
      <xdr:colOff>243840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65FA30-7486-4D08-89C9-639FF38C0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4</xdr:row>
      <xdr:rowOff>38100</xdr:rowOff>
    </xdr:from>
    <xdr:to>
      <xdr:col>12</xdr:col>
      <xdr:colOff>327660</xdr:colOff>
      <xdr:row>23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E5A4A-17F7-4380-ABCD-1BB1B2BB9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9</xdr:row>
      <xdr:rowOff>11430</xdr:rowOff>
    </xdr:from>
    <xdr:to>
      <xdr:col>3</xdr:col>
      <xdr:colOff>1866900</xdr:colOff>
      <xdr:row>24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B9B6AE-CC88-4F86-E6CB-1481A0C8F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9</xdr:row>
      <xdr:rowOff>26670</xdr:rowOff>
    </xdr:from>
    <xdr:to>
      <xdr:col>11</xdr:col>
      <xdr:colOff>342900</xdr:colOff>
      <xdr:row>24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276034-DC3D-ECC5-EDA9-7FF382143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7</xdr:row>
      <xdr:rowOff>179070</xdr:rowOff>
    </xdr:from>
    <xdr:to>
      <xdr:col>4</xdr:col>
      <xdr:colOff>998220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871799-5FBE-1AD8-FE93-AD535BF3E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7</xdr:row>
      <xdr:rowOff>156210</xdr:rowOff>
    </xdr:from>
    <xdr:to>
      <xdr:col>13</xdr:col>
      <xdr:colOff>228600</xdr:colOff>
      <xdr:row>22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0759FD-E06D-7884-E8A3-38329E00D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12</xdr:row>
      <xdr:rowOff>3809</xdr:rowOff>
    </xdr:from>
    <xdr:to>
      <xdr:col>4</xdr:col>
      <xdr:colOff>1165412</xdr:colOff>
      <xdr:row>29</xdr:row>
      <xdr:rowOff>161364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FC894E-AA19-108A-DADC-81785FC1B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1149275</xdr:colOff>
      <xdr:row>12</xdr:row>
      <xdr:rowOff>9637</xdr:rowOff>
    </xdr:from>
    <xdr:to>
      <xdr:col>12</xdr:col>
      <xdr:colOff>510988</xdr:colOff>
      <xdr:row>29</xdr:row>
      <xdr:rowOff>143436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65F023-9B71-1ACE-737D-FDDAA8E63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</xdr:colOff>
      <xdr:row>11</xdr:row>
      <xdr:rowOff>19050</xdr:rowOff>
    </xdr:from>
    <xdr:to>
      <xdr:col>3</xdr:col>
      <xdr:colOff>1181100</xdr:colOff>
      <xdr:row>28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028A54-89F2-A953-0DEC-A9A9B3E2C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1333500</xdr:colOff>
      <xdr:row>11</xdr:row>
      <xdr:rowOff>53340</xdr:rowOff>
    </xdr:from>
    <xdr:to>
      <xdr:col>8</xdr:col>
      <xdr:colOff>571500</xdr:colOff>
      <xdr:row>28</xdr:row>
      <xdr:rowOff>22860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0406E5-9AE6-27E4-C710-7A15ADE09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3810</xdr:rowOff>
    </xdr:from>
    <xdr:to>
      <xdr:col>16</xdr:col>
      <xdr:colOff>0</xdr:colOff>
      <xdr:row>22</xdr:row>
      <xdr:rowOff>160020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45C494B-1988-361D-C238-807453F171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87440" y="552450"/>
              <a:ext cx="5486400" cy="36309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594360</xdr:colOff>
      <xdr:row>24</xdr:row>
      <xdr:rowOff>19050</xdr:rowOff>
    </xdr:from>
    <xdr:to>
      <xdr:col>16</xdr:col>
      <xdr:colOff>15240</xdr:colOff>
      <xdr:row>45</xdr:row>
      <xdr:rowOff>45720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6BAFA18-0275-3F27-9564-AF69F8CE21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72200" y="4408170"/>
              <a:ext cx="5516880" cy="386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510540</xdr:colOff>
      <xdr:row>15</xdr:row>
      <xdr:rowOff>26670</xdr:rowOff>
    </xdr:from>
    <xdr:to>
      <xdr:col>5</xdr:col>
      <xdr:colOff>609600</xdr:colOff>
      <xdr:row>30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49446B-B76A-A077-24B6-41D2A8A7B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655320</xdr:colOff>
      <xdr:row>15</xdr:row>
      <xdr:rowOff>34290</xdr:rowOff>
    </xdr:from>
    <xdr:to>
      <xdr:col>10</xdr:col>
      <xdr:colOff>586740</xdr:colOff>
      <xdr:row>30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ED68B2-2CE8-01C2-D484-56B2E431B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20A674-E940-4215-9DBF-94762B899821}" name="Table3" displayName="Table3" ref="B4:F12" totalsRowShown="0" headerRowDxfId="6">
  <autoFilter ref="B4:F12" xr:uid="{9420A674-E940-4215-9DBF-94762B899821}"/>
  <tableColumns count="5">
    <tableColumn id="1" xr3:uid="{F4FA4176-39F8-4E11-ABEB-AA71CE24F15C}" name="campaign_id"/>
    <tableColumn id="2" xr3:uid="{30C257CA-BE16-4F78-9CAB-3A90259F232D}" name="city"/>
    <tableColumn id="3" xr3:uid="{3E5EA97F-6508-4984-B388-3746B79FAC41}" name="exposed_orders"/>
    <tableColumn id="4" xr3:uid="{042469A5-8953-4532-A43D-D6B9C076B0E9}" name="clicked_orders"/>
    <tableColumn id="5" xr3:uid="{D297FE19-55CB-4CBC-ADF5-C244D7235863}" name="CTR_precentag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4076-30B8-49EB-B8AB-B3866C899581}">
  <dimension ref="B1:C6"/>
  <sheetViews>
    <sheetView zoomScale="115" zoomScaleNormal="115" workbookViewId="0">
      <selection activeCell="D1" sqref="D1"/>
    </sheetView>
  </sheetViews>
  <sheetFormatPr defaultRowHeight="14.4" x14ac:dyDescent="0.3"/>
  <cols>
    <col min="2" max="2" width="8.109375" customWidth="1"/>
    <col min="3" max="3" width="14.33203125" customWidth="1"/>
  </cols>
  <sheetData>
    <row r="1" spans="2:3" x14ac:dyDescent="0.3">
      <c r="B1" s="1" t="s">
        <v>0</v>
      </c>
    </row>
    <row r="4" spans="2:3" x14ac:dyDescent="0.3">
      <c r="B4" s="2" t="s">
        <v>4</v>
      </c>
      <c r="C4" s="2" t="s">
        <v>1</v>
      </c>
    </row>
    <row r="5" spans="2:3" x14ac:dyDescent="0.3">
      <c r="B5" t="s">
        <v>2</v>
      </c>
      <c r="C5" s="3">
        <v>129640</v>
      </c>
    </row>
    <row r="6" spans="2:3" x14ac:dyDescent="0.3">
      <c r="B6" t="s">
        <v>3</v>
      </c>
      <c r="C6" s="3">
        <v>128743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25BF-2FC8-4E9E-8EDF-672357599B1C}">
  <dimension ref="B1:F20"/>
  <sheetViews>
    <sheetView workbookViewId="0">
      <selection activeCell="P12" sqref="P12"/>
    </sheetView>
  </sheetViews>
  <sheetFormatPr defaultRowHeight="14.4" x14ac:dyDescent="0.3"/>
  <sheetData>
    <row r="1" spans="2:3" x14ac:dyDescent="0.3">
      <c r="B1" s="4" t="s">
        <v>21</v>
      </c>
    </row>
    <row r="4" spans="2:3" x14ac:dyDescent="0.3">
      <c r="B4" s="2" t="s">
        <v>22</v>
      </c>
      <c r="C4" s="2" t="s">
        <v>23</v>
      </c>
    </row>
    <row r="5" spans="2:3" x14ac:dyDescent="0.3">
      <c r="B5" t="s">
        <v>3</v>
      </c>
      <c r="C5">
        <v>35.188765355408698</v>
      </c>
    </row>
    <row r="6" spans="2:3" x14ac:dyDescent="0.3">
      <c r="B6" t="s">
        <v>2</v>
      </c>
      <c r="C6">
        <v>33.171606785799597</v>
      </c>
    </row>
    <row r="20" spans="6:6" x14ac:dyDescent="0.3">
      <c r="F20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703D-4EF1-465A-B7FC-5CDF0FBE11C4}">
  <dimension ref="B1:D30"/>
  <sheetViews>
    <sheetView workbookViewId="0">
      <selection activeCell="Q3" sqref="Q3"/>
    </sheetView>
  </sheetViews>
  <sheetFormatPr defaultRowHeight="14.4" x14ac:dyDescent="0.3"/>
  <cols>
    <col min="2" max="2" width="16.77734375" customWidth="1"/>
    <col min="4" max="4" width="28.77734375" customWidth="1"/>
  </cols>
  <sheetData>
    <row r="1" spans="2:4" x14ac:dyDescent="0.3">
      <c r="B1" s="1" t="s">
        <v>5</v>
      </c>
    </row>
    <row r="2" spans="2:4" x14ac:dyDescent="0.3">
      <c r="B2" s="1" t="s">
        <v>6</v>
      </c>
    </row>
    <row r="5" spans="2:4" x14ac:dyDescent="0.3">
      <c r="B5" s="2" t="s">
        <v>4</v>
      </c>
      <c r="C5" s="2" t="s">
        <v>20</v>
      </c>
      <c r="D5" s="2" t="s">
        <v>436</v>
      </c>
    </row>
    <row r="6" spans="2:4" x14ac:dyDescent="0.3">
      <c r="B6" t="s">
        <v>3</v>
      </c>
      <c r="C6" t="s">
        <v>19</v>
      </c>
      <c r="D6">
        <v>212852</v>
      </c>
    </row>
    <row r="7" spans="2:4" x14ac:dyDescent="0.3">
      <c r="B7" t="s">
        <v>3</v>
      </c>
      <c r="C7" t="s">
        <v>7</v>
      </c>
      <c r="D7">
        <v>1297209</v>
      </c>
    </row>
    <row r="8" spans="2:4" x14ac:dyDescent="0.3">
      <c r="B8" t="s">
        <v>3</v>
      </c>
      <c r="C8" t="s">
        <v>8</v>
      </c>
      <c r="D8">
        <v>1493787</v>
      </c>
    </row>
    <row r="9" spans="2:4" x14ac:dyDescent="0.3">
      <c r="B9" t="s">
        <v>3</v>
      </c>
      <c r="C9" t="s">
        <v>9</v>
      </c>
      <c r="D9">
        <v>1498248</v>
      </c>
    </row>
    <row r="10" spans="2:4" x14ac:dyDescent="0.3">
      <c r="B10" t="s">
        <v>3</v>
      </c>
      <c r="C10" t="s">
        <v>10</v>
      </c>
      <c r="D10">
        <v>1470183</v>
      </c>
    </row>
    <row r="11" spans="2:4" x14ac:dyDescent="0.3">
      <c r="B11" t="s">
        <v>3</v>
      </c>
      <c r="C11" t="s">
        <v>11</v>
      </c>
      <c r="D11">
        <v>1553995</v>
      </c>
    </row>
    <row r="12" spans="2:4" x14ac:dyDescent="0.3">
      <c r="B12" t="s">
        <v>3</v>
      </c>
      <c r="C12" t="s">
        <v>12</v>
      </c>
      <c r="D12">
        <v>1504706</v>
      </c>
    </row>
    <row r="13" spans="2:4" x14ac:dyDescent="0.3">
      <c r="B13" t="s">
        <v>3</v>
      </c>
      <c r="C13" t="s">
        <v>13</v>
      </c>
      <c r="D13">
        <v>1473052</v>
      </c>
    </row>
    <row r="14" spans="2:4" x14ac:dyDescent="0.3">
      <c r="B14" t="s">
        <v>3</v>
      </c>
      <c r="C14" t="s">
        <v>14</v>
      </c>
      <c r="D14">
        <v>1547008</v>
      </c>
    </row>
    <row r="15" spans="2:4" x14ac:dyDescent="0.3">
      <c r="B15" t="s">
        <v>3</v>
      </c>
      <c r="C15" t="s">
        <v>15</v>
      </c>
      <c r="D15">
        <v>1507273</v>
      </c>
    </row>
    <row r="16" spans="2:4" x14ac:dyDescent="0.3">
      <c r="B16" t="s">
        <v>3</v>
      </c>
      <c r="C16" t="s">
        <v>16</v>
      </c>
      <c r="D16">
        <v>1522441</v>
      </c>
    </row>
    <row r="17" spans="2:4" x14ac:dyDescent="0.3">
      <c r="B17" t="s">
        <v>3</v>
      </c>
      <c r="C17" t="s">
        <v>17</v>
      </c>
      <c r="D17">
        <v>1360200</v>
      </c>
    </row>
    <row r="18" spans="2:4" x14ac:dyDescent="0.3">
      <c r="B18" t="s">
        <v>3</v>
      </c>
      <c r="C18" t="s">
        <v>18</v>
      </c>
      <c r="D18">
        <v>1509152</v>
      </c>
    </row>
    <row r="19" spans="2:4" x14ac:dyDescent="0.3">
      <c r="B19" t="s">
        <v>2</v>
      </c>
      <c r="C19" t="s">
        <v>7</v>
      </c>
      <c r="D19">
        <v>1298128</v>
      </c>
    </row>
    <row r="20" spans="2:4" x14ac:dyDescent="0.3">
      <c r="B20" t="s">
        <v>2</v>
      </c>
      <c r="C20" t="s">
        <v>8</v>
      </c>
      <c r="D20">
        <v>1440031</v>
      </c>
    </row>
    <row r="21" spans="2:4" x14ac:dyDescent="0.3">
      <c r="B21" t="s">
        <v>2</v>
      </c>
      <c r="C21" t="s">
        <v>9</v>
      </c>
      <c r="D21">
        <v>1457844</v>
      </c>
    </row>
    <row r="22" spans="2:4" x14ac:dyDescent="0.3">
      <c r="B22" t="s">
        <v>2</v>
      </c>
      <c r="C22" t="s">
        <v>10</v>
      </c>
      <c r="D22">
        <v>1423537</v>
      </c>
    </row>
    <row r="23" spans="2:4" x14ac:dyDescent="0.3">
      <c r="B23" t="s">
        <v>2</v>
      </c>
      <c r="C23" t="s">
        <v>11</v>
      </c>
      <c r="D23">
        <v>1444242</v>
      </c>
    </row>
    <row r="24" spans="2:4" x14ac:dyDescent="0.3">
      <c r="B24" t="s">
        <v>2</v>
      </c>
      <c r="C24" t="s">
        <v>12</v>
      </c>
      <c r="D24">
        <v>1485074</v>
      </c>
    </row>
    <row r="25" spans="2:4" x14ac:dyDescent="0.3">
      <c r="B25" t="s">
        <v>2</v>
      </c>
      <c r="C25" t="s">
        <v>13</v>
      </c>
      <c r="D25">
        <v>1439165</v>
      </c>
    </row>
    <row r="26" spans="2:4" x14ac:dyDescent="0.3">
      <c r="B26" t="s">
        <v>2</v>
      </c>
      <c r="C26" t="s">
        <v>14</v>
      </c>
      <c r="D26">
        <v>1497108</v>
      </c>
    </row>
    <row r="27" spans="2:4" x14ac:dyDescent="0.3">
      <c r="B27" t="s">
        <v>2</v>
      </c>
      <c r="C27" t="s">
        <v>15</v>
      </c>
      <c r="D27">
        <v>1439036</v>
      </c>
    </row>
    <row r="28" spans="2:4" x14ac:dyDescent="0.3">
      <c r="B28" t="s">
        <v>2</v>
      </c>
      <c r="C28" t="s">
        <v>16</v>
      </c>
      <c r="D28">
        <v>1462671</v>
      </c>
    </row>
    <row r="29" spans="2:4" x14ac:dyDescent="0.3">
      <c r="B29" t="s">
        <v>2</v>
      </c>
      <c r="C29" t="s">
        <v>17</v>
      </c>
      <c r="D29">
        <v>1384722</v>
      </c>
    </row>
    <row r="30" spans="2:4" x14ac:dyDescent="0.3">
      <c r="B30" t="s">
        <v>2</v>
      </c>
      <c r="C30" t="s">
        <v>18</v>
      </c>
      <c r="D30">
        <v>1510542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18A8-7E21-4786-991F-549423E08E23}">
  <dimension ref="B1:E11"/>
  <sheetViews>
    <sheetView workbookViewId="0">
      <selection activeCell="E11" sqref="E11"/>
    </sheetView>
  </sheetViews>
  <sheetFormatPr defaultRowHeight="14.4" x14ac:dyDescent="0.3"/>
  <cols>
    <col min="1" max="1" width="3.21875" customWidth="1"/>
    <col min="2" max="2" width="18.77734375" customWidth="1"/>
    <col min="3" max="3" width="15.88671875" customWidth="1"/>
    <col min="4" max="4" width="19.77734375" customWidth="1"/>
    <col min="5" max="5" width="38" customWidth="1"/>
  </cols>
  <sheetData>
    <row r="1" spans="2:5" x14ac:dyDescent="0.3">
      <c r="B1" s="10" t="s">
        <v>25</v>
      </c>
      <c r="C1" s="10"/>
      <c r="D1" s="10"/>
      <c r="E1" s="10"/>
    </row>
    <row r="4" spans="2:5" x14ac:dyDescent="0.3">
      <c r="B4" s="2" t="s">
        <v>22</v>
      </c>
      <c r="C4" s="2" t="s">
        <v>1</v>
      </c>
      <c r="D4" s="2" t="s">
        <v>26</v>
      </c>
      <c r="E4" s="2" t="s">
        <v>27</v>
      </c>
    </row>
    <row r="5" spans="2:5" x14ac:dyDescent="0.3">
      <c r="B5" t="s">
        <v>3</v>
      </c>
      <c r="C5">
        <v>78881</v>
      </c>
      <c r="D5">
        <f xml:space="preserve"> 27.37/100</f>
        <v>0.2737</v>
      </c>
      <c r="E5">
        <f>72.63/100</f>
        <v>0.72629999999999995</v>
      </c>
    </row>
    <row r="6" spans="2:5" x14ac:dyDescent="0.3">
      <c r="B6" t="s">
        <v>2</v>
      </c>
      <c r="C6">
        <v>79519</v>
      </c>
      <c r="D6">
        <f>27.43/100</f>
        <v>0.27429999999999999</v>
      </c>
      <c r="E6">
        <f>72.57/100</f>
        <v>0.7256999999999999</v>
      </c>
    </row>
    <row r="8" spans="2:5" x14ac:dyDescent="0.3">
      <c r="B8" t="s">
        <v>28</v>
      </c>
    </row>
    <row r="9" spans="2:5" x14ac:dyDescent="0.3">
      <c r="B9" s="2" t="s">
        <v>22</v>
      </c>
      <c r="C9" s="2" t="s">
        <v>1</v>
      </c>
      <c r="D9" s="2" t="s">
        <v>26</v>
      </c>
      <c r="E9" s="2" t="s">
        <v>27</v>
      </c>
    </row>
    <row r="10" spans="2:5" x14ac:dyDescent="0.3">
      <c r="B10" t="s">
        <v>3</v>
      </c>
      <c r="C10">
        <v>78881</v>
      </c>
      <c r="D10" s="6">
        <f xml:space="preserve"> 27.37/100</f>
        <v>0.2737</v>
      </c>
      <c r="E10" s="6">
        <f>72.63/100</f>
        <v>0.72629999999999995</v>
      </c>
    </row>
    <row r="11" spans="2:5" x14ac:dyDescent="0.3">
      <c r="B11" t="s">
        <v>2</v>
      </c>
      <c r="C11">
        <v>79519</v>
      </c>
      <c r="D11" s="6">
        <f>27.43/100</f>
        <v>0.27429999999999999</v>
      </c>
      <c r="E11" s="6">
        <f>72.57/100</f>
        <v>0.7256999999999999</v>
      </c>
    </row>
  </sheetData>
  <mergeCells count="1">
    <mergeCell ref="B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5E9B-C4C8-4A77-9895-E9DB79514262}">
  <dimension ref="A1:F32"/>
  <sheetViews>
    <sheetView showFormulas="1" workbookViewId="0">
      <selection activeCell="D6" sqref="D6"/>
    </sheetView>
  </sheetViews>
  <sheetFormatPr defaultRowHeight="14.4" x14ac:dyDescent="0.3"/>
  <cols>
    <col min="1" max="1" width="45.21875" bestFit="1" customWidth="1"/>
    <col min="2" max="2" width="17.5546875" customWidth="1"/>
    <col min="6" max="6" width="15" customWidth="1"/>
  </cols>
  <sheetData>
    <row r="1" spans="1:6" x14ac:dyDescent="0.3">
      <c r="A1" s="1" t="s">
        <v>32</v>
      </c>
    </row>
    <row r="2" spans="1:6" x14ac:dyDescent="0.3">
      <c r="A2" s="1" t="s">
        <v>29</v>
      </c>
    </row>
    <row r="3" spans="1:6" x14ac:dyDescent="0.3">
      <c r="A3" s="1" t="s">
        <v>30</v>
      </c>
    </row>
    <row r="4" spans="1:6" x14ac:dyDescent="0.3">
      <c r="A4" s="1" t="s">
        <v>31</v>
      </c>
    </row>
    <row r="6" spans="1:6" x14ac:dyDescent="0.3">
      <c r="B6" s="2" t="s">
        <v>20</v>
      </c>
      <c r="C6" s="2" t="s">
        <v>22</v>
      </c>
      <c r="D6" s="2" t="s">
        <v>33</v>
      </c>
      <c r="E6" s="2" t="s">
        <v>34</v>
      </c>
      <c r="F6" s="2" t="s">
        <v>35</v>
      </c>
    </row>
    <row r="7" spans="1:6" x14ac:dyDescent="0.3">
      <c r="B7" t="s">
        <v>19</v>
      </c>
      <c r="C7" t="s">
        <v>2</v>
      </c>
      <c r="D7">
        <v>244432</v>
      </c>
      <c r="E7">
        <v>10071</v>
      </c>
      <c r="F7" s="7">
        <v>4.1200000000000001E-2</v>
      </c>
    </row>
    <row r="8" spans="1:6" x14ac:dyDescent="0.3">
      <c r="B8" t="s">
        <v>19</v>
      </c>
      <c r="C8" t="s">
        <v>3</v>
      </c>
      <c r="D8">
        <v>228502</v>
      </c>
      <c r="E8">
        <v>8240</v>
      </c>
      <c r="F8" s="7">
        <v>3.6060000000000002E-2</v>
      </c>
    </row>
    <row r="9" spans="1:6" x14ac:dyDescent="0.3">
      <c r="B9" t="s">
        <v>18</v>
      </c>
      <c r="C9" t="s">
        <v>2</v>
      </c>
      <c r="D9">
        <v>1625498</v>
      </c>
      <c r="E9">
        <v>60466</v>
      </c>
      <c r="F9" s="7">
        <v>3.7199999999999997E-2</v>
      </c>
    </row>
    <row r="10" spans="1:6" x14ac:dyDescent="0.3">
      <c r="B10" t="s">
        <v>18</v>
      </c>
      <c r="C10" t="s">
        <v>3</v>
      </c>
      <c r="D10">
        <v>1620580</v>
      </c>
      <c r="E10">
        <v>57538</v>
      </c>
      <c r="F10" s="7">
        <v>3.5499999999999997E-2</v>
      </c>
    </row>
    <row r="11" spans="1:6" x14ac:dyDescent="0.3">
      <c r="B11" t="s">
        <v>17</v>
      </c>
      <c r="C11" t="s">
        <v>2</v>
      </c>
      <c r="D11">
        <v>1485722</v>
      </c>
      <c r="E11">
        <v>51505</v>
      </c>
      <c r="F11" s="7">
        <v>3.4669999999999999E-2</v>
      </c>
    </row>
    <row r="12" spans="1:6" x14ac:dyDescent="0.3">
      <c r="B12" t="s">
        <v>17</v>
      </c>
      <c r="C12" t="s">
        <v>3</v>
      </c>
      <c r="D12">
        <v>1461366</v>
      </c>
      <c r="E12">
        <v>52381</v>
      </c>
      <c r="F12" s="7">
        <v>3.5839999999999997E-2</v>
      </c>
    </row>
    <row r="13" spans="1:6" x14ac:dyDescent="0.3">
      <c r="B13" t="s">
        <v>16</v>
      </c>
      <c r="C13" t="s">
        <v>2</v>
      </c>
      <c r="D13">
        <v>1572374</v>
      </c>
      <c r="E13">
        <v>58418</v>
      </c>
      <c r="F13" s="7">
        <v>3.7150000000000002E-2</v>
      </c>
    </row>
    <row r="14" spans="1:6" x14ac:dyDescent="0.3">
      <c r="B14" t="s">
        <v>16</v>
      </c>
      <c r="C14" t="s">
        <v>3</v>
      </c>
      <c r="D14">
        <v>1638854</v>
      </c>
      <c r="E14">
        <v>62123</v>
      </c>
      <c r="F14" s="7">
        <v>3.7909999999999999E-2</v>
      </c>
    </row>
    <row r="15" spans="1:6" x14ac:dyDescent="0.3">
      <c r="B15" t="s">
        <v>15</v>
      </c>
      <c r="C15" t="s">
        <v>2</v>
      </c>
      <c r="D15">
        <v>1551482</v>
      </c>
      <c r="E15">
        <v>58841</v>
      </c>
      <c r="F15" s="7">
        <v>3.7929999999999998E-2</v>
      </c>
    </row>
    <row r="16" spans="1:6" x14ac:dyDescent="0.3">
      <c r="B16" t="s">
        <v>15</v>
      </c>
      <c r="C16" t="s">
        <v>3</v>
      </c>
      <c r="D16">
        <v>1620545</v>
      </c>
      <c r="E16">
        <v>60872</v>
      </c>
      <c r="F16" s="7">
        <v>3.7560000000000003E-2</v>
      </c>
    </row>
    <row r="17" spans="2:6" x14ac:dyDescent="0.3">
      <c r="B17" t="s">
        <v>14</v>
      </c>
      <c r="C17" t="s">
        <v>2</v>
      </c>
      <c r="D17">
        <v>1610386</v>
      </c>
      <c r="E17">
        <v>58258</v>
      </c>
      <c r="F17" s="7">
        <v>3.6179999999999997E-2</v>
      </c>
    </row>
    <row r="18" spans="2:6" x14ac:dyDescent="0.3">
      <c r="B18" t="s">
        <v>14</v>
      </c>
      <c r="C18" t="s">
        <v>3</v>
      </c>
      <c r="D18">
        <v>1665427</v>
      </c>
      <c r="E18">
        <v>64549</v>
      </c>
      <c r="F18" s="7">
        <v>3.8760000000000003E-2</v>
      </c>
    </row>
    <row r="19" spans="2:6" x14ac:dyDescent="0.3">
      <c r="B19" t="s">
        <v>13</v>
      </c>
      <c r="C19" t="s">
        <v>2</v>
      </c>
      <c r="D19">
        <v>1544389</v>
      </c>
      <c r="E19">
        <v>53919</v>
      </c>
      <c r="F19" s="7">
        <v>3.4909999999999997E-2</v>
      </c>
    </row>
    <row r="20" spans="2:6" x14ac:dyDescent="0.3">
      <c r="B20" t="s">
        <v>13</v>
      </c>
      <c r="C20" t="s">
        <v>3</v>
      </c>
      <c r="D20">
        <v>1580335</v>
      </c>
      <c r="E20">
        <v>55658</v>
      </c>
      <c r="F20" s="7">
        <v>3.5220000000000001E-2</v>
      </c>
    </row>
    <row r="21" spans="2:6" x14ac:dyDescent="0.3">
      <c r="B21" t="s">
        <v>12</v>
      </c>
      <c r="C21" t="s">
        <v>2</v>
      </c>
      <c r="D21">
        <v>1597850</v>
      </c>
      <c r="E21">
        <v>58946</v>
      </c>
      <c r="F21" s="7">
        <v>3.6889999999999999E-2</v>
      </c>
    </row>
    <row r="22" spans="2:6" x14ac:dyDescent="0.3">
      <c r="B22" t="s">
        <v>12</v>
      </c>
      <c r="C22" t="s">
        <v>3</v>
      </c>
      <c r="D22">
        <v>1618167</v>
      </c>
      <c r="E22">
        <v>60971</v>
      </c>
      <c r="F22" s="7">
        <v>3.7679999999999998E-2</v>
      </c>
    </row>
    <row r="23" spans="2:6" x14ac:dyDescent="0.3">
      <c r="B23" t="s">
        <v>11</v>
      </c>
      <c r="C23" t="s">
        <v>2</v>
      </c>
      <c r="D23">
        <v>1555414</v>
      </c>
      <c r="E23">
        <v>55742</v>
      </c>
      <c r="F23" s="7">
        <v>3.5839999999999997E-2</v>
      </c>
    </row>
    <row r="24" spans="2:6" x14ac:dyDescent="0.3">
      <c r="B24" t="s">
        <v>11</v>
      </c>
      <c r="C24" t="s">
        <v>3</v>
      </c>
      <c r="D24">
        <v>1665211</v>
      </c>
      <c r="E24">
        <v>58271</v>
      </c>
      <c r="F24" s="7">
        <v>3.499E-2</v>
      </c>
    </row>
    <row r="25" spans="2:6" x14ac:dyDescent="0.3">
      <c r="B25" t="s">
        <v>10</v>
      </c>
      <c r="C25" t="s">
        <v>2</v>
      </c>
      <c r="D25">
        <v>1530245</v>
      </c>
      <c r="E25">
        <v>54268</v>
      </c>
      <c r="F25" s="7">
        <v>3.5459999999999998E-2</v>
      </c>
    </row>
    <row r="26" spans="2:6" x14ac:dyDescent="0.3">
      <c r="B26" t="s">
        <v>10</v>
      </c>
      <c r="C26" t="s">
        <v>3</v>
      </c>
      <c r="D26">
        <v>1581698</v>
      </c>
      <c r="E26">
        <v>60270</v>
      </c>
      <c r="F26" s="7">
        <v>3.8100000000000002E-2</v>
      </c>
    </row>
    <row r="27" spans="2:6" x14ac:dyDescent="0.3">
      <c r="B27" t="s">
        <v>9</v>
      </c>
      <c r="C27" t="s">
        <v>2</v>
      </c>
      <c r="D27">
        <v>1566867</v>
      </c>
      <c r="E27">
        <v>54903</v>
      </c>
      <c r="F27" s="7">
        <v>3.5040000000000002E-2</v>
      </c>
    </row>
    <row r="28" spans="2:6" x14ac:dyDescent="0.3">
      <c r="B28" t="s">
        <v>9</v>
      </c>
      <c r="C28" t="s">
        <v>3</v>
      </c>
      <c r="D28">
        <v>1608450</v>
      </c>
      <c r="E28">
        <v>58422</v>
      </c>
      <c r="F28" s="7">
        <v>3.6319999999999998E-2</v>
      </c>
    </row>
    <row r="29" spans="2:6" x14ac:dyDescent="0.3">
      <c r="B29" t="s">
        <v>8</v>
      </c>
      <c r="C29" t="s">
        <v>2</v>
      </c>
      <c r="D29">
        <v>1552005</v>
      </c>
      <c r="E29">
        <v>58229</v>
      </c>
      <c r="F29" s="7">
        <v>3.7519999999999998E-2</v>
      </c>
    </row>
    <row r="30" spans="2:6" x14ac:dyDescent="0.3">
      <c r="B30" t="s">
        <v>8</v>
      </c>
      <c r="C30" t="s">
        <v>3</v>
      </c>
      <c r="D30">
        <v>1608681</v>
      </c>
      <c r="E30">
        <v>61674</v>
      </c>
      <c r="F30" s="7">
        <v>3.8339999999999999E-2</v>
      </c>
    </row>
    <row r="31" spans="2:6" x14ac:dyDescent="0.3">
      <c r="B31" t="s">
        <v>7</v>
      </c>
      <c r="C31" t="s">
        <v>2</v>
      </c>
      <c r="D31">
        <v>1392365</v>
      </c>
      <c r="E31">
        <v>48012</v>
      </c>
      <c r="F31" s="7">
        <v>3.4479999999999997E-2</v>
      </c>
    </row>
    <row r="32" spans="2:6" x14ac:dyDescent="0.3">
      <c r="B32" t="s">
        <v>7</v>
      </c>
      <c r="C32" t="s">
        <v>3</v>
      </c>
      <c r="D32">
        <v>1393953</v>
      </c>
      <c r="E32">
        <v>51009</v>
      </c>
      <c r="F32" s="7">
        <v>3.6589999999999998E-2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F6F2-14DB-4E7A-85D0-8FA32433DE04}">
  <dimension ref="A1:F32"/>
  <sheetViews>
    <sheetView topLeftCell="A4" workbookViewId="0">
      <selection activeCell="C4" sqref="C1:C1048576"/>
    </sheetView>
  </sheetViews>
  <sheetFormatPr defaultRowHeight="14.4" x14ac:dyDescent="0.3"/>
  <cols>
    <col min="1" max="1" width="75" bestFit="1" customWidth="1"/>
    <col min="2" max="2" width="15.88671875" customWidth="1"/>
    <col min="3" max="3" width="14.21875" customWidth="1"/>
    <col min="4" max="4" width="13.77734375" customWidth="1"/>
    <col min="5" max="5" width="21.109375" customWidth="1"/>
    <col min="6" max="6" width="14" customWidth="1"/>
  </cols>
  <sheetData>
    <row r="1" spans="1:6" x14ac:dyDescent="0.3">
      <c r="A1" s="1" t="s">
        <v>32</v>
      </c>
    </row>
    <row r="2" spans="1:6" x14ac:dyDescent="0.3">
      <c r="A2" s="1" t="s">
        <v>36</v>
      </c>
    </row>
    <row r="3" spans="1:6" x14ac:dyDescent="0.3">
      <c r="A3" s="1" t="s">
        <v>37</v>
      </c>
    </row>
    <row r="4" spans="1:6" x14ac:dyDescent="0.3">
      <c r="A4" s="1" t="s">
        <v>38</v>
      </c>
    </row>
    <row r="6" spans="1:6" x14ac:dyDescent="0.3">
      <c r="B6" s="2" t="s">
        <v>20</v>
      </c>
      <c r="C6" s="2" t="s">
        <v>22</v>
      </c>
      <c r="D6" s="2" t="s">
        <v>39</v>
      </c>
      <c r="E6" s="2" t="s">
        <v>40</v>
      </c>
      <c r="F6" s="2" t="s">
        <v>41</v>
      </c>
    </row>
    <row r="7" spans="1:6" x14ac:dyDescent="0.3">
      <c r="B7" t="s">
        <v>19</v>
      </c>
      <c r="C7" t="s">
        <v>2</v>
      </c>
      <c r="D7">
        <v>17671</v>
      </c>
      <c r="E7">
        <v>7600</v>
      </c>
      <c r="F7" s="7">
        <v>0.43008000000000002</v>
      </c>
    </row>
    <row r="8" spans="1:6" x14ac:dyDescent="0.3">
      <c r="B8" t="s">
        <v>19</v>
      </c>
      <c r="C8" t="s">
        <v>3</v>
      </c>
      <c r="D8">
        <v>15700</v>
      </c>
      <c r="E8">
        <v>7460</v>
      </c>
      <c r="F8" s="7">
        <v>0.47516000000000003</v>
      </c>
    </row>
    <row r="9" spans="1:6" x14ac:dyDescent="0.3">
      <c r="B9" t="s">
        <v>18</v>
      </c>
      <c r="C9" t="s">
        <v>2</v>
      </c>
      <c r="D9">
        <v>115321</v>
      </c>
      <c r="E9">
        <v>54855</v>
      </c>
      <c r="F9" s="7">
        <v>0.47566999999999998</v>
      </c>
    </row>
    <row r="10" spans="1:6" x14ac:dyDescent="0.3">
      <c r="B10" t="s">
        <v>18</v>
      </c>
      <c r="C10" t="s">
        <v>3</v>
      </c>
      <c r="D10">
        <v>111798</v>
      </c>
      <c r="E10">
        <v>54260</v>
      </c>
      <c r="F10" s="7">
        <v>0.48533999999999999</v>
      </c>
    </row>
    <row r="11" spans="1:6" x14ac:dyDescent="0.3">
      <c r="B11" t="s">
        <v>17</v>
      </c>
      <c r="C11" t="s">
        <v>2</v>
      </c>
      <c r="D11">
        <v>101205</v>
      </c>
      <c r="E11">
        <v>49700</v>
      </c>
      <c r="F11" s="7">
        <v>0.49108000000000002</v>
      </c>
    </row>
    <row r="12" spans="1:6" x14ac:dyDescent="0.3">
      <c r="B12" t="s">
        <v>17</v>
      </c>
      <c r="C12" t="s">
        <v>3</v>
      </c>
      <c r="D12">
        <v>101471</v>
      </c>
      <c r="E12">
        <v>49090</v>
      </c>
      <c r="F12" s="7">
        <v>0.48377999999999999</v>
      </c>
    </row>
    <row r="13" spans="1:6" x14ac:dyDescent="0.3">
      <c r="B13" t="s">
        <v>16</v>
      </c>
      <c r="C13" t="s">
        <v>2</v>
      </c>
      <c r="D13">
        <v>110013</v>
      </c>
      <c r="E13">
        <v>51595</v>
      </c>
      <c r="F13" s="7">
        <v>0.46899000000000002</v>
      </c>
    </row>
    <row r="14" spans="1:6" x14ac:dyDescent="0.3">
      <c r="B14" t="s">
        <v>16</v>
      </c>
      <c r="C14" t="s">
        <v>3</v>
      </c>
      <c r="D14">
        <v>116708</v>
      </c>
      <c r="E14">
        <v>54585</v>
      </c>
      <c r="F14" s="7">
        <v>0.46771000000000001</v>
      </c>
    </row>
    <row r="15" spans="1:6" x14ac:dyDescent="0.3">
      <c r="B15" t="s">
        <v>15</v>
      </c>
      <c r="C15" t="s">
        <v>2</v>
      </c>
      <c r="D15">
        <v>112711</v>
      </c>
      <c r="E15">
        <v>53870</v>
      </c>
      <c r="F15" s="7">
        <v>0.47794999999999999</v>
      </c>
    </row>
    <row r="16" spans="1:6" x14ac:dyDescent="0.3">
      <c r="B16" t="s">
        <v>15</v>
      </c>
      <c r="C16" t="s">
        <v>3</v>
      </c>
      <c r="D16">
        <v>113562</v>
      </c>
      <c r="E16">
        <v>52690</v>
      </c>
      <c r="F16" s="7">
        <v>0.46398</v>
      </c>
    </row>
    <row r="17" spans="2:6" x14ac:dyDescent="0.3">
      <c r="B17" t="s">
        <v>14</v>
      </c>
      <c r="C17" t="s">
        <v>2</v>
      </c>
      <c r="D17">
        <v>113573</v>
      </c>
      <c r="E17">
        <v>55315</v>
      </c>
      <c r="F17" s="7">
        <v>0.48703999999999997</v>
      </c>
    </row>
    <row r="18" spans="2:6" x14ac:dyDescent="0.3">
      <c r="B18" t="s">
        <v>14</v>
      </c>
      <c r="C18" t="s">
        <v>3</v>
      </c>
      <c r="D18">
        <v>118724</v>
      </c>
      <c r="E18">
        <v>54175</v>
      </c>
      <c r="F18" s="7">
        <v>0.45630999999999999</v>
      </c>
    </row>
    <row r="19" spans="2:6" x14ac:dyDescent="0.3">
      <c r="B19" t="s">
        <v>13</v>
      </c>
      <c r="C19" t="s">
        <v>2</v>
      </c>
      <c r="D19">
        <v>105529</v>
      </c>
      <c r="E19">
        <v>51610</v>
      </c>
      <c r="F19" s="7">
        <v>0.48905999999999999</v>
      </c>
    </row>
    <row r="20" spans="2:6" x14ac:dyDescent="0.3">
      <c r="B20" t="s">
        <v>13</v>
      </c>
      <c r="C20" t="s">
        <v>3</v>
      </c>
      <c r="D20">
        <v>107588</v>
      </c>
      <c r="E20">
        <v>51930</v>
      </c>
      <c r="F20" s="7">
        <v>0.48266999999999999</v>
      </c>
    </row>
    <row r="21" spans="2:6" x14ac:dyDescent="0.3">
      <c r="B21" t="s">
        <v>12</v>
      </c>
      <c r="C21" t="s">
        <v>2</v>
      </c>
      <c r="D21">
        <v>113151</v>
      </c>
      <c r="E21">
        <v>54205</v>
      </c>
      <c r="F21" s="7">
        <v>0.47904999999999998</v>
      </c>
    </row>
    <row r="22" spans="2:6" x14ac:dyDescent="0.3">
      <c r="B22" t="s">
        <v>12</v>
      </c>
      <c r="C22" t="s">
        <v>3</v>
      </c>
      <c r="D22">
        <v>113811</v>
      </c>
      <c r="E22">
        <v>52840</v>
      </c>
      <c r="F22" s="7">
        <v>0.46428000000000003</v>
      </c>
    </row>
    <row r="23" spans="2:6" x14ac:dyDescent="0.3">
      <c r="B23" t="s">
        <v>11</v>
      </c>
      <c r="C23" t="s">
        <v>2</v>
      </c>
      <c r="D23">
        <v>111477</v>
      </c>
      <c r="E23">
        <v>55735</v>
      </c>
      <c r="F23" s="7">
        <v>0.49997000000000003</v>
      </c>
    </row>
    <row r="24" spans="2:6" x14ac:dyDescent="0.3">
      <c r="B24" t="s">
        <v>11</v>
      </c>
      <c r="C24" t="s">
        <v>3</v>
      </c>
      <c r="D24">
        <v>111571</v>
      </c>
      <c r="E24">
        <v>53300</v>
      </c>
      <c r="F24" s="7">
        <v>0.47771999999999998</v>
      </c>
    </row>
    <row r="25" spans="2:6" x14ac:dyDescent="0.3">
      <c r="B25" t="s">
        <v>10</v>
      </c>
      <c r="C25" t="s">
        <v>2</v>
      </c>
      <c r="D25">
        <v>106958</v>
      </c>
      <c r="E25">
        <v>52690</v>
      </c>
      <c r="F25" s="7">
        <v>0.49262</v>
      </c>
    </row>
    <row r="26" spans="2:6" x14ac:dyDescent="0.3">
      <c r="B26" t="s">
        <v>10</v>
      </c>
      <c r="C26" t="s">
        <v>3</v>
      </c>
      <c r="D26">
        <v>111825</v>
      </c>
      <c r="E26">
        <v>51555</v>
      </c>
      <c r="F26" s="7">
        <v>0.46103</v>
      </c>
    </row>
    <row r="27" spans="2:6" x14ac:dyDescent="0.3">
      <c r="B27" t="s">
        <v>9</v>
      </c>
      <c r="C27" t="s">
        <v>2</v>
      </c>
      <c r="D27">
        <v>109318</v>
      </c>
      <c r="E27">
        <v>54415</v>
      </c>
      <c r="F27" s="7">
        <v>0.49776999999999999</v>
      </c>
    </row>
    <row r="28" spans="2:6" x14ac:dyDescent="0.3">
      <c r="B28" t="s">
        <v>9</v>
      </c>
      <c r="C28" t="s">
        <v>3</v>
      </c>
      <c r="D28">
        <v>110472</v>
      </c>
      <c r="E28">
        <v>52050</v>
      </c>
      <c r="F28" s="7">
        <v>0.47116000000000002</v>
      </c>
    </row>
    <row r="29" spans="2:6" x14ac:dyDescent="0.3">
      <c r="B29" t="s">
        <v>8</v>
      </c>
      <c r="C29" t="s">
        <v>2</v>
      </c>
      <c r="D29">
        <v>112334</v>
      </c>
      <c r="E29">
        <v>54105</v>
      </c>
      <c r="F29" s="7">
        <v>0.48164000000000001</v>
      </c>
    </row>
    <row r="30" spans="2:6" x14ac:dyDescent="0.3">
      <c r="B30" t="s">
        <v>8</v>
      </c>
      <c r="C30" t="s">
        <v>3</v>
      </c>
      <c r="D30">
        <v>115209</v>
      </c>
      <c r="E30">
        <v>53535</v>
      </c>
      <c r="F30" s="7">
        <v>0.46467999999999998</v>
      </c>
    </row>
    <row r="31" spans="2:6" x14ac:dyDescent="0.3">
      <c r="B31" t="s">
        <v>7</v>
      </c>
      <c r="C31" t="s">
        <v>2</v>
      </c>
      <c r="D31">
        <v>94527</v>
      </c>
      <c r="E31">
        <v>46515</v>
      </c>
      <c r="F31" s="7">
        <v>0.49208000000000002</v>
      </c>
    </row>
    <row r="32" spans="2:6" x14ac:dyDescent="0.3">
      <c r="B32" t="s">
        <v>7</v>
      </c>
      <c r="C32" t="s">
        <v>3</v>
      </c>
      <c r="D32">
        <v>97004</v>
      </c>
      <c r="E32">
        <v>45995</v>
      </c>
      <c r="F32" s="7">
        <v>0.47416000000000003</v>
      </c>
    </row>
  </sheetData>
  <conditionalFormatting sqref="B7:E32">
    <cfRule type="cellIs" dxfId="4" priority="3" operator="equal">
      <formula>"Hyderabad"</formula>
    </cfRule>
  </conditionalFormatting>
  <conditionalFormatting sqref="C1:C1048576">
    <cfRule type="cellIs" dxfId="3" priority="2" operator="equal">
      <formula>"Bangalore"</formula>
    </cfRule>
    <cfRule type="cellIs" dxfId="2" priority="4" operator="equal">
      <formula>"Hyderabad"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3545-61C2-4D8A-901D-434D9B395AAD}">
  <dimension ref="A1:C34"/>
  <sheetViews>
    <sheetView showGridLines="0" workbookViewId="0">
      <selection activeCell="N19" sqref="N19"/>
    </sheetView>
  </sheetViews>
  <sheetFormatPr defaultRowHeight="14.4" x14ac:dyDescent="0.3"/>
  <cols>
    <col min="1" max="1" width="59" bestFit="1" customWidth="1"/>
    <col min="2" max="2" width="14.77734375" customWidth="1"/>
    <col min="3" max="3" width="18.44140625" customWidth="1"/>
    <col min="4" max="4" width="16.88671875" customWidth="1"/>
  </cols>
  <sheetData>
    <row r="1" spans="1:3" x14ac:dyDescent="0.3">
      <c r="A1" s="1" t="s">
        <v>42</v>
      </c>
    </row>
    <row r="2" spans="1:3" x14ac:dyDescent="0.3">
      <c r="A2" s="1" t="s">
        <v>43</v>
      </c>
    </row>
    <row r="3" spans="1:3" x14ac:dyDescent="0.3">
      <c r="A3" s="1" t="s">
        <v>44</v>
      </c>
    </row>
    <row r="4" spans="1:3" x14ac:dyDescent="0.3">
      <c r="A4" s="1" t="s">
        <v>45</v>
      </c>
    </row>
    <row r="8" spans="1:3" x14ac:dyDescent="0.3">
      <c r="A8" s="2" t="s">
        <v>20</v>
      </c>
      <c r="B8" s="2" t="s">
        <v>22</v>
      </c>
      <c r="C8" s="2" t="s">
        <v>46</v>
      </c>
    </row>
    <row r="9" spans="1:3" x14ac:dyDescent="0.3">
      <c r="A9" t="s">
        <v>19</v>
      </c>
      <c r="B9" t="s">
        <v>2</v>
      </c>
      <c r="C9">
        <v>817</v>
      </c>
    </row>
    <row r="10" spans="1:3" x14ac:dyDescent="0.3">
      <c r="A10" t="s">
        <v>19</v>
      </c>
      <c r="B10" t="s">
        <v>3</v>
      </c>
      <c r="C10">
        <v>800</v>
      </c>
    </row>
    <row r="11" spans="1:3" x14ac:dyDescent="0.3">
      <c r="A11" t="s">
        <v>18</v>
      </c>
      <c r="B11" t="s">
        <v>2</v>
      </c>
      <c r="C11">
        <v>2672</v>
      </c>
    </row>
    <row r="12" spans="1:3" x14ac:dyDescent="0.3">
      <c r="A12" t="s">
        <v>18</v>
      </c>
      <c r="B12" t="s">
        <v>3</v>
      </c>
      <c r="C12">
        <v>2688</v>
      </c>
    </row>
    <row r="13" spans="1:3" x14ac:dyDescent="0.3">
      <c r="A13" t="s">
        <v>17</v>
      </c>
      <c r="B13" t="s">
        <v>2</v>
      </c>
      <c r="C13">
        <v>2620</v>
      </c>
    </row>
    <row r="14" spans="1:3" x14ac:dyDescent="0.3">
      <c r="A14" t="s">
        <v>17</v>
      </c>
      <c r="B14" t="s">
        <v>3</v>
      </c>
      <c r="C14">
        <v>2617</v>
      </c>
    </row>
    <row r="15" spans="1:3" x14ac:dyDescent="0.3">
      <c r="A15" t="s">
        <v>16</v>
      </c>
      <c r="B15" t="s">
        <v>2</v>
      </c>
      <c r="C15">
        <v>2686</v>
      </c>
    </row>
    <row r="16" spans="1:3" x14ac:dyDescent="0.3">
      <c r="A16" t="s">
        <v>16</v>
      </c>
      <c r="B16" t="s">
        <v>3</v>
      </c>
      <c r="C16">
        <v>2669</v>
      </c>
    </row>
    <row r="17" spans="1:3" x14ac:dyDescent="0.3">
      <c r="A17" t="s">
        <v>15</v>
      </c>
      <c r="B17" t="s">
        <v>2</v>
      </c>
      <c r="C17">
        <v>2671</v>
      </c>
    </row>
    <row r="18" spans="1:3" x14ac:dyDescent="0.3">
      <c r="A18" t="s">
        <v>15</v>
      </c>
      <c r="B18" t="s">
        <v>3</v>
      </c>
      <c r="C18">
        <v>2665</v>
      </c>
    </row>
    <row r="19" spans="1:3" x14ac:dyDescent="0.3">
      <c r="A19" t="s">
        <v>14</v>
      </c>
      <c r="B19" t="s">
        <v>2</v>
      </c>
      <c r="C19">
        <v>2695</v>
      </c>
    </row>
    <row r="20" spans="1:3" x14ac:dyDescent="0.3">
      <c r="A20" t="s">
        <v>14</v>
      </c>
      <c r="B20" t="s">
        <v>3</v>
      </c>
      <c r="C20">
        <v>2702</v>
      </c>
    </row>
    <row r="21" spans="1:3" x14ac:dyDescent="0.3">
      <c r="A21" t="s">
        <v>13</v>
      </c>
      <c r="B21" t="s">
        <v>2</v>
      </c>
      <c r="C21">
        <v>2650</v>
      </c>
    </row>
    <row r="22" spans="1:3" x14ac:dyDescent="0.3">
      <c r="A22" t="s">
        <v>13</v>
      </c>
      <c r="B22" t="s">
        <v>3</v>
      </c>
      <c r="C22">
        <v>2642</v>
      </c>
    </row>
    <row r="23" spans="1:3" x14ac:dyDescent="0.3">
      <c r="A23" t="s">
        <v>12</v>
      </c>
      <c r="B23" t="s">
        <v>2</v>
      </c>
      <c r="C23">
        <v>2671</v>
      </c>
    </row>
    <row r="24" spans="1:3" x14ac:dyDescent="0.3">
      <c r="A24" t="s">
        <v>12</v>
      </c>
      <c r="B24" t="s">
        <v>3</v>
      </c>
      <c r="C24">
        <v>2661</v>
      </c>
    </row>
    <row r="25" spans="1:3" x14ac:dyDescent="0.3">
      <c r="A25" t="s">
        <v>11</v>
      </c>
      <c r="B25" t="s">
        <v>2</v>
      </c>
      <c r="C25">
        <v>2659</v>
      </c>
    </row>
    <row r="26" spans="1:3" x14ac:dyDescent="0.3">
      <c r="A26" t="s">
        <v>11</v>
      </c>
      <c r="B26" t="s">
        <v>3</v>
      </c>
      <c r="C26">
        <v>2664</v>
      </c>
    </row>
    <row r="27" spans="1:3" x14ac:dyDescent="0.3">
      <c r="A27" t="s">
        <v>10</v>
      </c>
      <c r="B27" t="s">
        <v>2</v>
      </c>
      <c r="C27">
        <v>2661</v>
      </c>
    </row>
    <row r="28" spans="1:3" x14ac:dyDescent="0.3">
      <c r="A28" t="s">
        <v>10</v>
      </c>
      <c r="B28" t="s">
        <v>3</v>
      </c>
      <c r="C28">
        <v>2609</v>
      </c>
    </row>
    <row r="29" spans="1:3" x14ac:dyDescent="0.3">
      <c r="A29" t="s">
        <v>9</v>
      </c>
      <c r="B29" t="s">
        <v>2</v>
      </c>
      <c r="C29">
        <v>2688</v>
      </c>
    </row>
    <row r="30" spans="1:3" x14ac:dyDescent="0.3">
      <c r="A30" t="s">
        <v>9</v>
      </c>
      <c r="B30" t="s">
        <v>3</v>
      </c>
      <c r="C30">
        <v>2650</v>
      </c>
    </row>
    <row r="31" spans="1:3" x14ac:dyDescent="0.3">
      <c r="A31" t="s">
        <v>8</v>
      </c>
      <c r="B31" t="s">
        <v>2</v>
      </c>
      <c r="C31">
        <v>2676</v>
      </c>
    </row>
    <row r="32" spans="1:3" x14ac:dyDescent="0.3">
      <c r="A32" t="s">
        <v>8</v>
      </c>
      <c r="B32" t="s">
        <v>3</v>
      </c>
      <c r="C32">
        <v>2669</v>
      </c>
    </row>
    <row r="33" spans="1:3" x14ac:dyDescent="0.3">
      <c r="A33" t="s">
        <v>7</v>
      </c>
      <c r="B33" t="s">
        <v>2</v>
      </c>
      <c r="C33">
        <v>2537</v>
      </c>
    </row>
    <row r="34" spans="1:3" x14ac:dyDescent="0.3">
      <c r="A34" t="s">
        <v>7</v>
      </c>
      <c r="B34" t="s">
        <v>3</v>
      </c>
      <c r="C34">
        <v>2557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86AC-381A-4389-9973-82CF4C80C5CB}">
  <dimension ref="A1:D9"/>
  <sheetViews>
    <sheetView workbookViewId="0">
      <selection activeCell="N7" sqref="N7"/>
    </sheetView>
  </sheetViews>
  <sheetFormatPr defaultRowHeight="14.4" x14ac:dyDescent="0.3"/>
  <cols>
    <col min="2" max="2" width="17.6640625" customWidth="1"/>
    <col min="3" max="3" width="18.21875" customWidth="1"/>
    <col min="4" max="4" width="27.5546875" customWidth="1"/>
  </cols>
  <sheetData>
    <row r="1" spans="1:4" x14ac:dyDescent="0.3">
      <c r="A1" s="1" t="s">
        <v>47</v>
      </c>
    </row>
    <row r="3" spans="1:4" x14ac:dyDescent="0.3">
      <c r="B3" s="2" t="s">
        <v>22</v>
      </c>
      <c r="C3" s="2" t="s">
        <v>48</v>
      </c>
      <c r="D3" s="2" t="s">
        <v>49</v>
      </c>
    </row>
    <row r="4" spans="1:4" x14ac:dyDescent="0.3">
      <c r="B4" t="s">
        <v>2</v>
      </c>
      <c r="C4" t="s">
        <v>50</v>
      </c>
      <c r="D4">
        <v>3836</v>
      </c>
    </row>
    <row r="5" spans="1:4" x14ac:dyDescent="0.3">
      <c r="B5" t="s">
        <v>2</v>
      </c>
      <c r="C5" t="s">
        <v>51</v>
      </c>
      <c r="D5">
        <v>19192</v>
      </c>
    </row>
    <row r="6" spans="1:4" x14ac:dyDescent="0.3">
      <c r="B6" t="s">
        <v>2</v>
      </c>
      <c r="C6" t="s">
        <v>52</v>
      </c>
      <c r="D6">
        <v>53661</v>
      </c>
    </row>
    <row r="7" spans="1:4" x14ac:dyDescent="0.3">
      <c r="B7" t="s">
        <v>3</v>
      </c>
      <c r="C7" t="s">
        <v>50</v>
      </c>
      <c r="D7">
        <v>3809</v>
      </c>
    </row>
    <row r="8" spans="1:4" x14ac:dyDescent="0.3">
      <c r="B8" t="s">
        <v>3</v>
      </c>
      <c r="C8" t="s">
        <v>52</v>
      </c>
      <c r="D8">
        <v>53154</v>
      </c>
    </row>
    <row r="9" spans="1:4" x14ac:dyDescent="0.3">
      <c r="B9" t="s">
        <v>3</v>
      </c>
      <c r="C9" t="s">
        <v>51</v>
      </c>
      <c r="D9">
        <v>19049</v>
      </c>
    </row>
  </sheetData>
  <conditionalFormatting sqref="B4:B9">
    <cfRule type="cellIs" dxfId="1" priority="3" operator="equal">
      <formula>"Hyderabad"</formula>
    </cfRule>
  </conditionalFormatting>
  <conditionalFormatting sqref="B7:B9">
    <cfRule type="cellIs" dxfId="0" priority="2" operator="equal">
      <formula>"bangalore"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9364-29A8-4E59-89E4-294AA29D65BC}">
  <dimension ref="A1:E7"/>
  <sheetViews>
    <sheetView showGridLines="0" workbookViewId="0">
      <selection activeCell="C1" sqref="C1"/>
    </sheetView>
  </sheetViews>
  <sheetFormatPr defaultRowHeight="14.4" x14ac:dyDescent="0.3"/>
  <cols>
    <col min="2" max="2" width="17.88671875" customWidth="1"/>
    <col min="3" max="3" width="15" customWidth="1"/>
    <col min="4" max="4" width="19.5546875" customWidth="1"/>
    <col min="5" max="5" width="16.6640625" customWidth="1"/>
  </cols>
  <sheetData>
    <row r="1" spans="1:5" x14ac:dyDescent="0.3">
      <c r="A1" s="1" t="s">
        <v>53</v>
      </c>
    </row>
    <row r="3" spans="1:5" x14ac:dyDescent="0.3">
      <c r="B3" s="2" t="s">
        <v>22</v>
      </c>
      <c r="C3" s="2" t="s">
        <v>54</v>
      </c>
      <c r="D3" s="2" t="s">
        <v>55</v>
      </c>
      <c r="E3" s="2" t="s">
        <v>56</v>
      </c>
    </row>
    <row r="4" spans="1:5" x14ac:dyDescent="0.3">
      <c r="B4" t="s">
        <v>3</v>
      </c>
      <c r="C4" t="b">
        <v>0</v>
      </c>
      <c r="D4">
        <v>64662</v>
      </c>
      <c r="E4">
        <v>33.658000000000001</v>
      </c>
    </row>
    <row r="5" spans="1:5" x14ac:dyDescent="0.3">
      <c r="B5" t="s">
        <v>3</v>
      </c>
      <c r="C5" t="b">
        <v>1</v>
      </c>
      <c r="D5">
        <v>14219</v>
      </c>
      <c r="E5">
        <v>42.152000000000001</v>
      </c>
    </row>
    <row r="6" spans="1:5" x14ac:dyDescent="0.3">
      <c r="B6" t="s">
        <v>2</v>
      </c>
      <c r="C6" t="b">
        <v>0</v>
      </c>
      <c r="D6">
        <v>65250</v>
      </c>
      <c r="E6">
        <v>31.646999999999998</v>
      </c>
    </row>
    <row r="7" spans="1:5" x14ac:dyDescent="0.3">
      <c r="B7" t="s">
        <v>2</v>
      </c>
      <c r="C7" t="b">
        <v>1</v>
      </c>
      <c r="D7">
        <v>14269</v>
      </c>
      <c r="E7">
        <v>40.145000000000003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89E2-4605-4499-B4D9-EAFBCACB6553}">
  <dimension ref="A1:K56"/>
  <sheetViews>
    <sheetView topLeftCell="A4" workbookViewId="0">
      <selection activeCell="N41" sqref="N41"/>
    </sheetView>
  </sheetViews>
  <sheetFormatPr defaultRowHeight="14.4" x14ac:dyDescent="0.3"/>
  <cols>
    <col min="2" max="2" width="13.88671875" customWidth="1"/>
    <col min="3" max="3" width="18.33203125" customWidth="1"/>
    <col min="6" max="6" width="14.44140625" customWidth="1"/>
    <col min="7" max="7" width="14.109375" customWidth="1"/>
    <col min="8" max="8" width="18.5546875" customWidth="1"/>
    <col min="9" max="9" width="14.77734375" customWidth="1"/>
    <col min="10" max="10" width="12" customWidth="1"/>
    <col min="11" max="11" width="11.6640625" customWidth="1"/>
  </cols>
  <sheetData>
    <row r="1" spans="1:11" x14ac:dyDescent="0.3">
      <c r="A1" s="1" t="s">
        <v>60</v>
      </c>
    </row>
    <row r="2" spans="1:11" x14ac:dyDescent="0.3">
      <c r="A2" s="1" t="s">
        <v>57</v>
      </c>
    </row>
    <row r="3" spans="1:11" x14ac:dyDescent="0.3">
      <c r="A3" s="1" t="s">
        <v>58</v>
      </c>
    </row>
    <row r="4" spans="1:11" x14ac:dyDescent="0.3">
      <c r="A4" s="1" t="s">
        <v>59</v>
      </c>
    </row>
    <row r="6" spans="1:11" x14ac:dyDescent="0.3">
      <c r="B6" s="2" t="s">
        <v>61</v>
      </c>
      <c r="C6" s="2" t="s">
        <v>62</v>
      </c>
      <c r="D6" s="2" t="s">
        <v>22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54</v>
      </c>
      <c r="K6" s="2" t="s">
        <v>68</v>
      </c>
    </row>
    <row r="7" spans="1:11" x14ac:dyDescent="0.3">
      <c r="B7">
        <v>16745</v>
      </c>
      <c r="C7">
        <v>644</v>
      </c>
      <c r="D7" t="s">
        <v>2</v>
      </c>
      <c r="E7" t="s">
        <v>69</v>
      </c>
      <c r="F7" s="8">
        <v>0.55226851851851855</v>
      </c>
      <c r="G7" t="b">
        <v>0</v>
      </c>
      <c r="H7">
        <v>82</v>
      </c>
      <c r="I7" t="b">
        <v>1</v>
      </c>
      <c r="J7" t="b">
        <v>1</v>
      </c>
      <c r="K7">
        <v>348</v>
      </c>
    </row>
    <row r="8" spans="1:11" x14ac:dyDescent="0.3">
      <c r="B8">
        <v>102455</v>
      </c>
      <c r="C8">
        <v>1310</v>
      </c>
      <c r="D8" t="s">
        <v>2</v>
      </c>
      <c r="E8" t="s">
        <v>70</v>
      </c>
      <c r="F8" s="8">
        <v>0.54719907407407409</v>
      </c>
      <c r="G8" t="b">
        <v>0</v>
      </c>
      <c r="H8">
        <v>79</v>
      </c>
      <c r="I8" t="b">
        <v>1</v>
      </c>
      <c r="J8" t="b">
        <v>1</v>
      </c>
      <c r="K8">
        <v>191</v>
      </c>
    </row>
    <row r="9" spans="1:11" x14ac:dyDescent="0.3">
      <c r="B9">
        <v>74985</v>
      </c>
      <c r="C9">
        <v>778</v>
      </c>
      <c r="D9" t="s">
        <v>2</v>
      </c>
      <c r="E9" t="s">
        <v>71</v>
      </c>
      <c r="F9" s="8">
        <v>0.69831018518518517</v>
      </c>
      <c r="G9" t="b">
        <v>0</v>
      </c>
      <c r="H9">
        <v>77</v>
      </c>
      <c r="I9" t="b">
        <v>1</v>
      </c>
      <c r="J9" t="b">
        <v>1</v>
      </c>
      <c r="K9">
        <v>40</v>
      </c>
    </row>
    <row r="10" spans="1:11" x14ac:dyDescent="0.3">
      <c r="B10">
        <v>65586</v>
      </c>
      <c r="C10">
        <v>3187</v>
      </c>
      <c r="D10" t="s">
        <v>3</v>
      </c>
      <c r="E10" t="s">
        <v>72</v>
      </c>
      <c r="F10" s="8">
        <v>0.66780092592592588</v>
      </c>
      <c r="G10" t="b">
        <v>0</v>
      </c>
      <c r="H10">
        <v>74</v>
      </c>
      <c r="I10" t="b">
        <v>1</v>
      </c>
      <c r="J10" t="b">
        <v>1</v>
      </c>
      <c r="K10">
        <v>158</v>
      </c>
    </row>
    <row r="11" spans="1:11" x14ac:dyDescent="0.3">
      <c r="B11">
        <v>8795</v>
      </c>
      <c r="C11">
        <v>4102</v>
      </c>
      <c r="D11" t="s">
        <v>3</v>
      </c>
      <c r="E11" t="s">
        <v>73</v>
      </c>
      <c r="F11" s="8">
        <v>0.27247685185185183</v>
      </c>
      <c r="G11" t="b">
        <v>0</v>
      </c>
      <c r="H11">
        <v>74</v>
      </c>
      <c r="I11" t="b">
        <v>1</v>
      </c>
      <c r="J11" t="b">
        <v>1</v>
      </c>
      <c r="K11">
        <v>189</v>
      </c>
    </row>
    <row r="12" spans="1:11" x14ac:dyDescent="0.3">
      <c r="B12">
        <v>62364</v>
      </c>
      <c r="C12">
        <v>5245</v>
      </c>
      <c r="D12" t="s">
        <v>3</v>
      </c>
      <c r="E12" t="s">
        <v>74</v>
      </c>
      <c r="F12" s="8">
        <v>0.71127314814814813</v>
      </c>
      <c r="G12" t="b">
        <v>0</v>
      </c>
      <c r="H12">
        <v>73</v>
      </c>
      <c r="I12" t="b">
        <v>1</v>
      </c>
      <c r="J12" t="b">
        <v>0</v>
      </c>
      <c r="K12">
        <v>138</v>
      </c>
    </row>
    <row r="13" spans="1:11" x14ac:dyDescent="0.3">
      <c r="B13">
        <v>40600</v>
      </c>
      <c r="C13">
        <v>5067</v>
      </c>
      <c r="D13" t="s">
        <v>3</v>
      </c>
      <c r="E13" t="s">
        <v>75</v>
      </c>
      <c r="F13" s="8">
        <v>0.10195601851851852</v>
      </c>
      <c r="G13" t="b">
        <v>0</v>
      </c>
      <c r="H13">
        <v>73</v>
      </c>
      <c r="I13" t="b">
        <v>1</v>
      </c>
      <c r="J13" t="b">
        <v>1</v>
      </c>
      <c r="K13">
        <v>94</v>
      </c>
    </row>
    <row r="14" spans="1:11" x14ac:dyDescent="0.3">
      <c r="B14">
        <v>19497</v>
      </c>
      <c r="C14">
        <v>4658</v>
      </c>
      <c r="D14" t="s">
        <v>3</v>
      </c>
      <c r="E14" t="s">
        <v>76</v>
      </c>
      <c r="F14" s="8">
        <v>0.61689814814814814</v>
      </c>
      <c r="G14" t="b">
        <v>0</v>
      </c>
      <c r="H14">
        <v>72</v>
      </c>
      <c r="I14" t="b">
        <v>1</v>
      </c>
      <c r="J14" t="b">
        <v>1</v>
      </c>
      <c r="K14">
        <v>120</v>
      </c>
    </row>
    <row r="15" spans="1:11" x14ac:dyDescent="0.3">
      <c r="B15">
        <v>63568</v>
      </c>
      <c r="C15">
        <v>2945</v>
      </c>
      <c r="D15" t="s">
        <v>2</v>
      </c>
      <c r="E15" t="s">
        <v>77</v>
      </c>
      <c r="F15" s="8">
        <v>0.37839120370370372</v>
      </c>
      <c r="G15" t="b">
        <v>0</v>
      </c>
      <c r="H15">
        <v>72</v>
      </c>
      <c r="I15" t="b">
        <v>1</v>
      </c>
      <c r="J15" t="b">
        <v>1</v>
      </c>
      <c r="K15">
        <v>285</v>
      </c>
    </row>
    <row r="16" spans="1:11" x14ac:dyDescent="0.3">
      <c r="B16">
        <v>72949</v>
      </c>
      <c r="C16">
        <v>5148</v>
      </c>
      <c r="D16" t="s">
        <v>3</v>
      </c>
      <c r="E16" t="s">
        <v>78</v>
      </c>
      <c r="F16" s="8">
        <v>0.41077546296296297</v>
      </c>
      <c r="G16" t="b">
        <v>0</v>
      </c>
      <c r="H16">
        <v>72</v>
      </c>
      <c r="I16" t="b">
        <v>0</v>
      </c>
      <c r="J16" t="b">
        <v>1</v>
      </c>
      <c r="K16">
        <v>193</v>
      </c>
    </row>
    <row r="17" spans="2:11" x14ac:dyDescent="0.3">
      <c r="B17">
        <v>131045</v>
      </c>
      <c r="C17">
        <v>3216</v>
      </c>
      <c r="D17" t="s">
        <v>3</v>
      </c>
      <c r="E17" t="s">
        <v>79</v>
      </c>
      <c r="F17" s="8">
        <v>0.34791666666666665</v>
      </c>
      <c r="G17" t="b">
        <v>0</v>
      </c>
      <c r="H17">
        <v>72</v>
      </c>
      <c r="I17" t="b">
        <v>1</v>
      </c>
      <c r="J17" t="b">
        <v>0</v>
      </c>
      <c r="K17">
        <v>252</v>
      </c>
    </row>
    <row r="18" spans="2:11" x14ac:dyDescent="0.3">
      <c r="B18">
        <v>37670</v>
      </c>
      <c r="C18">
        <v>3024</v>
      </c>
      <c r="D18" t="s">
        <v>3</v>
      </c>
      <c r="E18" t="s">
        <v>80</v>
      </c>
      <c r="F18" s="8">
        <v>0.68531249999999999</v>
      </c>
      <c r="G18" t="b">
        <v>0</v>
      </c>
      <c r="H18">
        <v>71</v>
      </c>
      <c r="I18" t="b">
        <v>1</v>
      </c>
      <c r="J18" t="b">
        <v>1</v>
      </c>
      <c r="K18">
        <v>157</v>
      </c>
    </row>
    <row r="19" spans="2:11" x14ac:dyDescent="0.3">
      <c r="B19">
        <v>38759</v>
      </c>
      <c r="C19">
        <v>5131</v>
      </c>
      <c r="D19" t="s">
        <v>3</v>
      </c>
      <c r="E19" t="s">
        <v>81</v>
      </c>
      <c r="F19" s="8">
        <v>0.20916666666666667</v>
      </c>
      <c r="G19" t="b">
        <v>0</v>
      </c>
      <c r="H19">
        <v>70</v>
      </c>
      <c r="I19" t="b">
        <v>1</v>
      </c>
      <c r="J19" t="b">
        <v>1</v>
      </c>
      <c r="K19">
        <v>40</v>
      </c>
    </row>
    <row r="20" spans="2:11" x14ac:dyDescent="0.3">
      <c r="B20">
        <v>84016</v>
      </c>
      <c r="C20">
        <v>2557</v>
      </c>
      <c r="D20" t="s">
        <v>2</v>
      </c>
      <c r="E20" t="s">
        <v>82</v>
      </c>
      <c r="F20" s="8">
        <v>0.86811342592592589</v>
      </c>
      <c r="G20" t="b">
        <v>0</v>
      </c>
      <c r="H20">
        <v>70</v>
      </c>
      <c r="I20" t="b">
        <v>1</v>
      </c>
      <c r="J20" t="b">
        <v>0</v>
      </c>
      <c r="K20">
        <v>143</v>
      </c>
    </row>
    <row r="21" spans="2:11" x14ac:dyDescent="0.3">
      <c r="B21">
        <v>121020</v>
      </c>
      <c r="C21">
        <v>4905</v>
      </c>
      <c r="D21" t="s">
        <v>3</v>
      </c>
      <c r="E21" t="s">
        <v>83</v>
      </c>
      <c r="F21" s="8">
        <v>0.65418981481481486</v>
      </c>
      <c r="G21" t="b">
        <v>0</v>
      </c>
      <c r="H21">
        <v>70</v>
      </c>
      <c r="I21" t="b">
        <v>1</v>
      </c>
      <c r="J21" t="b">
        <v>0</v>
      </c>
      <c r="K21">
        <v>489</v>
      </c>
    </row>
    <row r="22" spans="2:11" x14ac:dyDescent="0.3">
      <c r="B22">
        <v>67409</v>
      </c>
      <c r="C22">
        <v>1608</v>
      </c>
      <c r="D22" t="s">
        <v>2</v>
      </c>
      <c r="E22" t="s">
        <v>80</v>
      </c>
      <c r="F22" s="8">
        <v>0.79091435185185188</v>
      </c>
      <c r="G22" t="b">
        <v>0</v>
      </c>
      <c r="H22">
        <v>70</v>
      </c>
      <c r="I22" t="b">
        <v>0</v>
      </c>
      <c r="J22" t="b">
        <v>1</v>
      </c>
      <c r="K22">
        <v>99</v>
      </c>
    </row>
    <row r="23" spans="2:11" x14ac:dyDescent="0.3">
      <c r="B23">
        <v>45698</v>
      </c>
      <c r="C23">
        <v>3469</v>
      </c>
      <c r="D23" t="s">
        <v>3</v>
      </c>
      <c r="E23" t="s">
        <v>84</v>
      </c>
      <c r="F23" s="8">
        <v>0.10703703703703704</v>
      </c>
      <c r="G23" t="b">
        <v>0</v>
      </c>
      <c r="H23">
        <v>70</v>
      </c>
      <c r="I23" t="b">
        <v>1</v>
      </c>
      <c r="J23" t="b">
        <v>1</v>
      </c>
      <c r="K23">
        <v>240</v>
      </c>
    </row>
    <row r="24" spans="2:11" x14ac:dyDescent="0.3">
      <c r="B24">
        <v>17457</v>
      </c>
      <c r="C24">
        <v>5414</v>
      </c>
      <c r="D24" t="s">
        <v>3</v>
      </c>
      <c r="E24" t="s">
        <v>85</v>
      </c>
      <c r="F24" s="8">
        <v>0.93921296296296297</v>
      </c>
      <c r="G24" t="b">
        <v>0</v>
      </c>
      <c r="H24">
        <v>70</v>
      </c>
      <c r="I24" t="b">
        <v>1</v>
      </c>
      <c r="J24" t="b">
        <v>1</v>
      </c>
      <c r="K24">
        <v>114</v>
      </c>
    </row>
    <row r="25" spans="2:11" x14ac:dyDescent="0.3">
      <c r="B25">
        <v>151348</v>
      </c>
      <c r="C25">
        <v>5268</v>
      </c>
      <c r="D25" t="s">
        <v>3</v>
      </c>
      <c r="E25" t="s">
        <v>86</v>
      </c>
      <c r="F25" s="8">
        <v>0.65312499999999996</v>
      </c>
      <c r="G25" t="b">
        <v>0</v>
      </c>
      <c r="H25">
        <v>70</v>
      </c>
      <c r="I25" t="b">
        <v>1</v>
      </c>
      <c r="J25" t="b">
        <v>0</v>
      </c>
      <c r="K25">
        <v>50</v>
      </c>
    </row>
    <row r="26" spans="2:11" x14ac:dyDescent="0.3">
      <c r="B26">
        <v>87292</v>
      </c>
      <c r="C26">
        <v>4274</v>
      </c>
      <c r="D26" t="s">
        <v>3</v>
      </c>
      <c r="E26" t="s">
        <v>87</v>
      </c>
      <c r="F26" s="8">
        <v>0.68693287037037032</v>
      </c>
      <c r="G26" t="b">
        <v>0</v>
      </c>
      <c r="H26">
        <v>70</v>
      </c>
      <c r="I26" t="b">
        <v>1</v>
      </c>
      <c r="J26" t="b">
        <v>1</v>
      </c>
      <c r="K26">
        <v>189</v>
      </c>
    </row>
    <row r="27" spans="2:11" x14ac:dyDescent="0.3">
      <c r="B27">
        <v>33859</v>
      </c>
      <c r="C27">
        <v>409</v>
      </c>
      <c r="D27" t="s">
        <v>2</v>
      </c>
      <c r="E27" t="s">
        <v>88</v>
      </c>
      <c r="F27" s="8">
        <v>0.77079861111111114</v>
      </c>
      <c r="G27" t="b">
        <v>0</v>
      </c>
      <c r="H27">
        <v>69</v>
      </c>
      <c r="I27" t="b">
        <v>1</v>
      </c>
      <c r="J27" t="b">
        <v>1</v>
      </c>
      <c r="K27">
        <v>588</v>
      </c>
    </row>
    <row r="28" spans="2:11" x14ac:dyDescent="0.3">
      <c r="B28">
        <v>99651</v>
      </c>
      <c r="C28">
        <v>4440</v>
      </c>
      <c r="D28" t="s">
        <v>3</v>
      </c>
      <c r="E28" t="s">
        <v>89</v>
      </c>
      <c r="F28" s="8">
        <v>0.55052083333333335</v>
      </c>
      <c r="G28" t="b">
        <v>0</v>
      </c>
      <c r="H28">
        <v>69</v>
      </c>
      <c r="I28" t="b">
        <v>1</v>
      </c>
      <c r="J28" t="b">
        <v>1</v>
      </c>
      <c r="K28">
        <v>189</v>
      </c>
    </row>
    <row r="29" spans="2:11" x14ac:dyDescent="0.3">
      <c r="B29">
        <v>141217</v>
      </c>
      <c r="C29">
        <v>5749</v>
      </c>
      <c r="D29" t="s">
        <v>3</v>
      </c>
      <c r="E29" t="s">
        <v>90</v>
      </c>
      <c r="F29" s="8">
        <v>0.95458333333333334</v>
      </c>
      <c r="G29" t="b">
        <v>0</v>
      </c>
      <c r="H29">
        <v>69</v>
      </c>
      <c r="I29" t="b">
        <v>1</v>
      </c>
      <c r="J29" t="b">
        <v>1</v>
      </c>
      <c r="K29">
        <v>276</v>
      </c>
    </row>
    <row r="30" spans="2:11" x14ac:dyDescent="0.3">
      <c r="B30">
        <v>116468</v>
      </c>
      <c r="C30">
        <v>4765</v>
      </c>
      <c r="D30" t="s">
        <v>3</v>
      </c>
      <c r="E30" t="s">
        <v>91</v>
      </c>
      <c r="F30" s="8">
        <v>0.45980324074074075</v>
      </c>
      <c r="G30" t="b">
        <v>0</v>
      </c>
      <c r="H30">
        <v>69</v>
      </c>
      <c r="I30" t="b">
        <v>1</v>
      </c>
      <c r="J30" t="b">
        <v>1</v>
      </c>
      <c r="K30">
        <v>40</v>
      </c>
    </row>
    <row r="31" spans="2:11" x14ac:dyDescent="0.3">
      <c r="B31">
        <v>153765</v>
      </c>
      <c r="C31">
        <v>5882</v>
      </c>
      <c r="D31" t="s">
        <v>3</v>
      </c>
      <c r="E31" t="s">
        <v>92</v>
      </c>
      <c r="F31" s="8">
        <v>0.81234953703703705</v>
      </c>
      <c r="G31" t="b">
        <v>0</v>
      </c>
      <c r="H31">
        <v>69</v>
      </c>
      <c r="I31" t="b">
        <v>1</v>
      </c>
      <c r="J31" t="b">
        <v>0</v>
      </c>
      <c r="K31">
        <v>71</v>
      </c>
    </row>
    <row r="32" spans="2:11" x14ac:dyDescent="0.3">
      <c r="B32">
        <v>24982</v>
      </c>
      <c r="C32">
        <v>5549</v>
      </c>
      <c r="D32" t="s">
        <v>3</v>
      </c>
      <c r="E32" t="s">
        <v>93</v>
      </c>
      <c r="F32" s="8">
        <v>0.59446759259259263</v>
      </c>
      <c r="G32" t="b">
        <v>0</v>
      </c>
      <c r="H32">
        <v>69</v>
      </c>
      <c r="I32" t="b">
        <v>1</v>
      </c>
      <c r="J32" t="b">
        <v>0</v>
      </c>
      <c r="K32">
        <v>214</v>
      </c>
    </row>
    <row r="33" spans="2:11" x14ac:dyDescent="0.3">
      <c r="B33">
        <v>135381</v>
      </c>
      <c r="C33">
        <v>242</v>
      </c>
      <c r="D33" t="s">
        <v>2</v>
      </c>
      <c r="E33" t="s">
        <v>94</v>
      </c>
      <c r="F33" s="8">
        <v>0.71120370370370367</v>
      </c>
      <c r="G33" t="b">
        <v>0</v>
      </c>
      <c r="H33">
        <v>69</v>
      </c>
      <c r="I33" t="b">
        <v>1</v>
      </c>
      <c r="J33" t="b">
        <v>1</v>
      </c>
      <c r="K33">
        <v>168</v>
      </c>
    </row>
    <row r="34" spans="2:11" x14ac:dyDescent="0.3">
      <c r="B34">
        <v>93978</v>
      </c>
      <c r="C34">
        <v>5336</v>
      </c>
      <c r="D34" t="s">
        <v>3</v>
      </c>
      <c r="E34" t="s">
        <v>95</v>
      </c>
      <c r="F34" s="8">
        <v>0.25745370370370368</v>
      </c>
      <c r="G34" t="b">
        <v>0</v>
      </c>
      <c r="H34">
        <v>69</v>
      </c>
      <c r="I34" t="b">
        <v>1</v>
      </c>
      <c r="J34" t="b">
        <v>1</v>
      </c>
      <c r="K34">
        <v>605</v>
      </c>
    </row>
    <row r="35" spans="2:11" x14ac:dyDescent="0.3">
      <c r="B35">
        <v>36203</v>
      </c>
      <c r="C35">
        <v>152</v>
      </c>
      <c r="D35" t="s">
        <v>2</v>
      </c>
      <c r="E35" t="s">
        <v>96</v>
      </c>
      <c r="F35" s="8">
        <v>0.62812500000000004</v>
      </c>
      <c r="G35" t="b">
        <v>0</v>
      </c>
      <c r="H35">
        <v>69</v>
      </c>
      <c r="I35" t="b">
        <v>1</v>
      </c>
      <c r="J35" t="b">
        <v>1</v>
      </c>
      <c r="K35">
        <v>132</v>
      </c>
    </row>
    <row r="36" spans="2:11" x14ac:dyDescent="0.3">
      <c r="B36">
        <v>113448</v>
      </c>
      <c r="C36">
        <v>5063</v>
      </c>
      <c r="D36" t="s">
        <v>3</v>
      </c>
      <c r="E36" t="s">
        <v>97</v>
      </c>
      <c r="F36" s="8">
        <v>0.76015046296296296</v>
      </c>
      <c r="G36" t="b">
        <v>0</v>
      </c>
      <c r="H36">
        <v>69</v>
      </c>
      <c r="I36" t="b">
        <v>1</v>
      </c>
      <c r="J36" t="b">
        <v>1</v>
      </c>
      <c r="K36">
        <v>301</v>
      </c>
    </row>
    <row r="37" spans="2:11" x14ac:dyDescent="0.3">
      <c r="B37">
        <v>81629</v>
      </c>
      <c r="C37">
        <v>1633</v>
      </c>
      <c r="D37" t="s">
        <v>2</v>
      </c>
      <c r="E37" t="s">
        <v>98</v>
      </c>
      <c r="F37" s="8">
        <v>0.48239583333333336</v>
      </c>
      <c r="G37" t="b">
        <v>0</v>
      </c>
      <c r="H37">
        <v>69</v>
      </c>
      <c r="I37" t="b">
        <v>1</v>
      </c>
      <c r="J37" t="b">
        <v>0</v>
      </c>
      <c r="K37">
        <v>208</v>
      </c>
    </row>
    <row r="38" spans="2:11" x14ac:dyDescent="0.3">
      <c r="B38">
        <v>12805</v>
      </c>
      <c r="C38">
        <v>2393</v>
      </c>
      <c r="D38" t="s">
        <v>2</v>
      </c>
      <c r="E38" t="s">
        <v>99</v>
      </c>
      <c r="F38" s="8">
        <v>0.41129629629629627</v>
      </c>
      <c r="G38" t="b">
        <v>0</v>
      </c>
      <c r="H38">
        <v>68</v>
      </c>
      <c r="I38" t="b">
        <v>1</v>
      </c>
      <c r="J38" t="b">
        <v>1</v>
      </c>
      <c r="K38">
        <v>285</v>
      </c>
    </row>
    <row r="39" spans="2:11" x14ac:dyDescent="0.3">
      <c r="B39">
        <v>26820</v>
      </c>
      <c r="C39">
        <v>2018</v>
      </c>
      <c r="D39" t="s">
        <v>2</v>
      </c>
      <c r="E39" t="s">
        <v>100</v>
      </c>
      <c r="F39" s="8">
        <v>0.65053240740740736</v>
      </c>
      <c r="G39" t="b">
        <v>0</v>
      </c>
      <c r="H39">
        <v>68</v>
      </c>
      <c r="I39" t="b">
        <v>1</v>
      </c>
      <c r="J39" t="b">
        <v>1</v>
      </c>
      <c r="K39">
        <v>132</v>
      </c>
    </row>
    <row r="40" spans="2:11" x14ac:dyDescent="0.3">
      <c r="B40">
        <v>13702</v>
      </c>
      <c r="C40">
        <v>3839</v>
      </c>
      <c r="D40" t="s">
        <v>3</v>
      </c>
      <c r="E40" t="s">
        <v>101</v>
      </c>
      <c r="F40" s="8">
        <v>0.98481481481481481</v>
      </c>
      <c r="G40" t="b">
        <v>0</v>
      </c>
      <c r="H40">
        <v>68</v>
      </c>
      <c r="I40" t="b">
        <v>1</v>
      </c>
      <c r="J40" t="b">
        <v>1</v>
      </c>
      <c r="K40">
        <v>94</v>
      </c>
    </row>
    <row r="41" spans="2:11" x14ac:dyDescent="0.3">
      <c r="B41">
        <v>57731</v>
      </c>
      <c r="C41">
        <v>3502</v>
      </c>
      <c r="D41" t="s">
        <v>3</v>
      </c>
      <c r="E41" t="s">
        <v>87</v>
      </c>
      <c r="F41" s="8">
        <v>0.43812499999999999</v>
      </c>
      <c r="G41" t="b">
        <v>0</v>
      </c>
      <c r="H41">
        <v>68</v>
      </c>
      <c r="I41" t="b">
        <v>1</v>
      </c>
      <c r="J41" t="b">
        <v>1</v>
      </c>
      <c r="K41">
        <v>85</v>
      </c>
    </row>
    <row r="42" spans="2:11" x14ac:dyDescent="0.3">
      <c r="B42">
        <v>32103</v>
      </c>
      <c r="C42">
        <v>2342</v>
      </c>
      <c r="D42" t="s">
        <v>2</v>
      </c>
      <c r="E42" t="s">
        <v>102</v>
      </c>
      <c r="F42" s="8">
        <v>0.85803240740740738</v>
      </c>
      <c r="G42" t="b">
        <v>0</v>
      </c>
      <c r="H42">
        <v>68</v>
      </c>
      <c r="I42" t="b">
        <v>1</v>
      </c>
      <c r="J42" t="b">
        <v>1</v>
      </c>
      <c r="K42">
        <v>62</v>
      </c>
    </row>
    <row r="43" spans="2:11" x14ac:dyDescent="0.3">
      <c r="B43">
        <v>151388</v>
      </c>
      <c r="C43">
        <v>5730</v>
      </c>
      <c r="D43" t="s">
        <v>3</v>
      </c>
      <c r="E43" t="s">
        <v>103</v>
      </c>
      <c r="F43" s="8">
        <v>0.85986111111111108</v>
      </c>
      <c r="G43" t="b">
        <v>0</v>
      </c>
      <c r="H43">
        <v>68</v>
      </c>
      <c r="I43" t="b">
        <v>1</v>
      </c>
      <c r="J43" t="b">
        <v>1</v>
      </c>
      <c r="K43">
        <v>193</v>
      </c>
    </row>
    <row r="44" spans="2:11" x14ac:dyDescent="0.3">
      <c r="B44">
        <v>18079</v>
      </c>
      <c r="C44">
        <v>5160</v>
      </c>
      <c r="D44" t="s">
        <v>3</v>
      </c>
      <c r="E44" t="s">
        <v>104</v>
      </c>
      <c r="F44" s="8">
        <v>0.1269675925925926</v>
      </c>
      <c r="G44" t="b">
        <v>0</v>
      </c>
      <c r="H44">
        <v>67</v>
      </c>
      <c r="I44" t="b">
        <v>1</v>
      </c>
      <c r="J44" t="b">
        <v>1</v>
      </c>
      <c r="K44">
        <v>276</v>
      </c>
    </row>
    <row r="45" spans="2:11" x14ac:dyDescent="0.3">
      <c r="B45">
        <v>27017</v>
      </c>
      <c r="C45">
        <v>1044</v>
      </c>
      <c r="D45" t="s">
        <v>2</v>
      </c>
      <c r="E45" t="s">
        <v>74</v>
      </c>
      <c r="F45" s="8">
        <v>0.90684027777777776</v>
      </c>
      <c r="G45" t="b">
        <v>0</v>
      </c>
      <c r="H45">
        <v>67</v>
      </c>
      <c r="I45" t="b">
        <v>1</v>
      </c>
      <c r="J45" t="b">
        <v>1</v>
      </c>
      <c r="K45">
        <v>131</v>
      </c>
    </row>
    <row r="46" spans="2:11" x14ac:dyDescent="0.3">
      <c r="B46">
        <v>5967</v>
      </c>
      <c r="C46">
        <v>5640</v>
      </c>
      <c r="D46" t="s">
        <v>3</v>
      </c>
      <c r="E46" t="s">
        <v>105</v>
      </c>
      <c r="F46" s="8">
        <v>0.50246527777777783</v>
      </c>
      <c r="G46" t="b">
        <v>0</v>
      </c>
      <c r="H46">
        <v>67</v>
      </c>
      <c r="I46" t="b">
        <v>1</v>
      </c>
      <c r="J46" t="b">
        <v>0</v>
      </c>
      <c r="K46">
        <v>602</v>
      </c>
    </row>
    <row r="47" spans="2:11" x14ac:dyDescent="0.3">
      <c r="B47">
        <v>93287</v>
      </c>
      <c r="C47">
        <v>885</v>
      </c>
      <c r="D47" t="s">
        <v>2</v>
      </c>
      <c r="E47" t="s">
        <v>106</v>
      </c>
      <c r="F47" s="8">
        <v>0.43369212962962961</v>
      </c>
      <c r="G47" t="b">
        <v>0</v>
      </c>
      <c r="H47">
        <v>66</v>
      </c>
      <c r="I47" t="b">
        <v>1</v>
      </c>
      <c r="J47" t="b">
        <v>0</v>
      </c>
      <c r="K47">
        <v>135</v>
      </c>
    </row>
    <row r="48" spans="2:11" x14ac:dyDescent="0.3">
      <c r="B48">
        <v>127963</v>
      </c>
      <c r="C48">
        <v>5742</v>
      </c>
      <c r="D48" t="s">
        <v>3</v>
      </c>
      <c r="E48" t="s">
        <v>107</v>
      </c>
      <c r="F48" s="8">
        <v>0.93857638888888884</v>
      </c>
      <c r="G48" t="b">
        <v>0</v>
      </c>
      <c r="H48">
        <v>66</v>
      </c>
      <c r="I48" t="b">
        <v>1</v>
      </c>
      <c r="J48" t="b">
        <v>1</v>
      </c>
      <c r="K48">
        <v>136</v>
      </c>
    </row>
    <row r="49" spans="2:11" x14ac:dyDescent="0.3">
      <c r="B49">
        <v>74692</v>
      </c>
      <c r="C49">
        <v>4667</v>
      </c>
      <c r="D49" t="s">
        <v>3</v>
      </c>
      <c r="E49" t="s">
        <v>108</v>
      </c>
      <c r="F49" s="8">
        <v>0.64656250000000004</v>
      </c>
      <c r="G49" t="b">
        <v>0</v>
      </c>
      <c r="H49">
        <v>66</v>
      </c>
      <c r="I49" t="b">
        <v>1</v>
      </c>
      <c r="J49" t="b">
        <v>0</v>
      </c>
      <c r="K49">
        <v>162</v>
      </c>
    </row>
    <row r="50" spans="2:11" x14ac:dyDescent="0.3">
      <c r="B50">
        <v>138068</v>
      </c>
      <c r="C50">
        <v>5596</v>
      </c>
      <c r="D50" t="s">
        <v>3</v>
      </c>
      <c r="E50" t="s">
        <v>89</v>
      </c>
      <c r="F50" s="8">
        <v>0.87091435185185184</v>
      </c>
      <c r="G50" t="b">
        <v>0</v>
      </c>
      <c r="H50">
        <v>66</v>
      </c>
      <c r="I50" t="b">
        <v>1</v>
      </c>
      <c r="J50" t="b">
        <v>1</v>
      </c>
      <c r="K50">
        <v>40</v>
      </c>
    </row>
    <row r="51" spans="2:11" x14ac:dyDescent="0.3">
      <c r="B51">
        <v>49483</v>
      </c>
      <c r="C51">
        <v>844</v>
      </c>
      <c r="D51" t="s">
        <v>2</v>
      </c>
      <c r="E51" t="s">
        <v>109</v>
      </c>
      <c r="F51" s="8">
        <v>0.57160879629629635</v>
      </c>
      <c r="G51" t="b">
        <v>0</v>
      </c>
      <c r="H51">
        <v>66</v>
      </c>
      <c r="I51" t="b">
        <v>1</v>
      </c>
      <c r="J51" t="b">
        <v>1</v>
      </c>
      <c r="K51">
        <v>199</v>
      </c>
    </row>
    <row r="52" spans="2:11" x14ac:dyDescent="0.3">
      <c r="B52">
        <v>97726</v>
      </c>
      <c r="C52">
        <v>4556</v>
      </c>
      <c r="D52" t="s">
        <v>3</v>
      </c>
      <c r="E52" t="s">
        <v>69</v>
      </c>
      <c r="F52" s="8">
        <v>0.16587962962962963</v>
      </c>
      <c r="G52" t="b">
        <v>0</v>
      </c>
      <c r="H52">
        <v>66</v>
      </c>
      <c r="I52" t="b">
        <v>1</v>
      </c>
      <c r="J52" t="b">
        <v>0</v>
      </c>
      <c r="K52">
        <v>60</v>
      </c>
    </row>
    <row r="53" spans="2:11" x14ac:dyDescent="0.3">
      <c r="B53">
        <v>58870</v>
      </c>
      <c r="C53">
        <v>5345</v>
      </c>
      <c r="D53" t="s">
        <v>3</v>
      </c>
      <c r="E53" t="s">
        <v>71</v>
      </c>
      <c r="F53" s="8">
        <v>0.7669907407407407</v>
      </c>
      <c r="G53" t="b">
        <v>0</v>
      </c>
      <c r="H53">
        <v>66</v>
      </c>
      <c r="I53" t="b">
        <v>1</v>
      </c>
      <c r="J53" t="b">
        <v>1</v>
      </c>
      <c r="K53">
        <v>164</v>
      </c>
    </row>
    <row r="54" spans="2:11" x14ac:dyDescent="0.3">
      <c r="B54">
        <v>53620</v>
      </c>
      <c r="C54">
        <v>4564</v>
      </c>
      <c r="D54" t="s">
        <v>3</v>
      </c>
      <c r="E54" t="s">
        <v>110</v>
      </c>
      <c r="F54" s="8">
        <v>0.10754629629629629</v>
      </c>
      <c r="G54" t="b">
        <v>0</v>
      </c>
      <c r="H54">
        <v>66</v>
      </c>
      <c r="I54" t="b">
        <v>1</v>
      </c>
      <c r="J54" t="b">
        <v>1</v>
      </c>
      <c r="K54">
        <v>95</v>
      </c>
    </row>
    <row r="55" spans="2:11" x14ac:dyDescent="0.3">
      <c r="B55">
        <v>61243</v>
      </c>
      <c r="C55">
        <v>4879</v>
      </c>
      <c r="D55" t="s">
        <v>3</v>
      </c>
      <c r="E55" t="s">
        <v>99</v>
      </c>
      <c r="F55" s="8">
        <v>0.31269675925925927</v>
      </c>
      <c r="G55" t="b">
        <v>0</v>
      </c>
      <c r="H55">
        <v>65</v>
      </c>
      <c r="I55" t="b">
        <v>1</v>
      </c>
      <c r="J55" t="b">
        <v>1</v>
      </c>
      <c r="K55">
        <v>164</v>
      </c>
    </row>
    <row r="56" spans="2:11" x14ac:dyDescent="0.3">
      <c r="B56">
        <v>82738</v>
      </c>
      <c r="C56">
        <v>1783</v>
      </c>
      <c r="D56" t="s">
        <v>2</v>
      </c>
      <c r="E56" t="s">
        <v>111</v>
      </c>
      <c r="F56" s="8">
        <v>0.76194444444444442</v>
      </c>
      <c r="G56" t="b">
        <v>0</v>
      </c>
      <c r="H56">
        <v>65</v>
      </c>
      <c r="I56" t="b">
        <v>1</v>
      </c>
      <c r="J56" t="b">
        <v>0</v>
      </c>
      <c r="K56">
        <v>173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05B7-533C-4766-A07B-D1FDA85BD23A}">
  <dimension ref="A1:F12"/>
  <sheetViews>
    <sheetView zoomScale="85" zoomScaleNormal="85" workbookViewId="0"/>
  </sheetViews>
  <sheetFormatPr defaultRowHeight="14.4" x14ac:dyDescent="0.3"/>
  <cols>
    <col min="2" max="2" width="16.88671875" customWidth="1"/>
    <col min="3" max="3" width="15.44140625" customWidth="1"/>
    <col min="4" max="4" width="22.21875" customWidth="1"/>
    <col min="5" max="5" width="18.44140625" customWidth="1"/>
    <col min="6" max="6" width="18.109375" customWidth="1"/>
  </cols>
  <sheetData>
    <row r="1" spans="1:6" x14ac:dyDescent="0.3">
      <c r="A1" s="5" t="s">
        <v>113</v>
      </c>
    </row>
    <row r="2" spans="1:6" x14ac:dyDescent="0.3">
      <c r="A2" s="5" t="s">
        <v>112</v>
      </c>
    </row>
    <row r="4" spans="1:6" x14ac:dyDescent="0.3">
      <c r="B4" s="2" t="s">
        <v>114</v>
      </c>
      <c r="C4" s="2" t="s">
        <v>22</v>
      </c>
      <c r="D4" s="2" t="s">
        <v>115</v>
      </c>
      <c r="E4" s="2" t="s">
        <v>116</v>
      </c>
      <c r="F4" s="2" t="s">
        <v>117</v>
      </c>
    </row>
    <row r="5" spans="1:6" x14ac:dyDescent="0.3">
      <c r="B5" t="s">
        <v>118</v>
      </c>
      <c r="C5" t="s">
        <v>3</v>
      </c>
      <c r="D5">
        <v>6907</v>
      </c>
      <c r="E5">
        <v>1436</v>
      </c>
      <c r="F5" s="7">
        <v>0.2079</v>
      </c>
    </row>
    <row r="6" spans="1:6" x14ac:dyDescent="0.3">
      <c r="B6" t="s">
        <v>118</v>
      </c>
      <c r="C6" t="s">
        <v>2</v>
      </c>
      <c r="D6">
        <v>6925</v>
      </c>
      <c r="E6">
        <v>1514</v>
      </c>
      <c r="F6" s="7">
        <v>0.21859999999999999</v>
      </c>
    </row>
    <row r="7" spans="1:6" x14ac:dyDescent="0.3">
      <c r="B7" t="s">
        <v>119</v>
      </c>
      <c r="C7" t="s">
        <v>2</v>
      </c>
      <c r="D7">
        <v>6955</v>
      </c>
      <c r="E7">
        <v>1541</v>
      </c>
      <c r="F7" s="7">
        <v>0.22159999999999999</v>
      </c>
    </row>
    <row r="8" spans="1:6" x14ac:dyDescent="0.3">
      <c r="B8" t="s">
        <v>119</v>
      </c>
      <c r="C8" t="s">
        <v>3</v>
      </c>
      <c r="D8">
        <v>6921</v>
      </c>
      <c r="E8">
        <v>1541</v>
      </c>
      <c r="F8" s="7">
        <v>0.22270000000000001</v>
      </c>
    </row>
    <row r="9" spans="1:6" x14ac:dyDescent="0.3">
      <c r="B9" t="s">
        <v>120</v>
      </c>
      <c r="C9" t="s">
        <v>3</v>
      </c>
      <c r="D9">
        <v>6977</v>
      </c>
      <c r="E9">
        <v>1588</v>
      </c>
      <c r="F9" s="7">
        <v>0.2276</v>
      </c>
    </row>
    <row r="10" spans="1:6" x14ac:dyDescent="0.3">
      <c r="B10" t="s">
        <v>120</v>
      </c>
      <c r="C10" t="s">
        <v>2</v>
      </c>
      <c r="D10">
        <v>6924</v>
      </c>
      <c r="E10">
        <v>1507</v>
      </c>
      <c r="F10" s="7">
        <v>0.21759999999999999</v>
      </c>
    </row>
    <row r="11" spans="1:6" x14ac:dyDescent="0.3">
      <c r="B11" t="s">
        <v>121</v>
      </c>
      <c r="C11" t="s">
        <v>3</v>
      </c>
      <c r="D11">
        <v>6826</v>
      </c>
      <c r="E11">
        <v>1537</v>
      </c>
      <c r="F11" s="7">
        <v>0.22520000000000001</v>
      </c>
    </row>
    <row r="12" spans="1:6" x14ac:dyDescent="0.3">
      <c r="B12" t="s">
        <v>121</v>
      </c>
      <c r="C12" t="s">
        <v>2</v>
      </c>
      <c r="D12">
        <v>6907</v>
      </c>
      <c r="E12">
        <v>1518</v>
      </c>
      <c r="F12" s="7">
        <v>0.2198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9F4D-24E3-4585-BA94-B7CCD8B98735}">
  <dimension ref="A1:E10"/>
  <sheetViews>
    <sheetView showGridLines="0" topLeftCell="A19" workbookViewId="0">
      <selection activeCell="K11" sqref="K11"/>
    </sheetView>
  </sheetViews>
  <sheetFormatPr defaultRowHeight="14.4" x14ac:dyDescent="0.3"/>
  <cols>
    <col min="2" max="2" width="16.77734375" customWidth="1"/>
    <col min="3" max="3" width="20" customWidth="1"/>
    <col min="4" max="4" width="23.33203125" customWidth="1"/>
    <col min="5" max="5" width="16.21875" customWidth="1"/>
  </cols>
  <sheetData>
    <row r="1" spans="1:5" x14ac:dyDescent="0.3">
      <c r="A1" s="5" t="s">
        <v>125</v>
      </c>
    </row>
    <row r="2" spans="1:5" x14ac:dyDescent="0.3">
      <c r="A2" s="5" t="s">
        <v>122</v>
      </c>
    </row>
    <row r="3" spans="1:5" x14ac:dyDescent="0.3">
      <c r="A3" s="5" t="s">
        <v>123</v>
      </c>
    </row>
    <row r="4" spans="1:5" x14ac:dyDescent="0.3">
      <c r="A4" s="5" t="s">
        <v>124</v>
      </c>
    </row>
    <row r="6" spans="1:5" x14ac:dyDescent="0.3">
      <c r="B6" s="2" t="s">
        <v>22</v>
      </c>
      <c r="C6" s="2" t="s">
        <v>126</v>
      </c>
      <c r="D6" s="2" t="s">
        <v>1</v>
      </c>
      <c r="E6" s="2" t="s">
        <v>127</v>
      </c>
    </row>
    <row r="7" spans="1:5" x14ac:dyDescent="0.3">
      <c r="B7" t="s">
        <v>2</v>
      </c>
      <c r="C7" t="b">
        <v>0</v>
      </c>
      <c r="D7">
        <v>51808</v>
      </c>
      <c r="E7">
        <v>221.63</v>
      </c>
    </row>
    <row r="8" spans="1:5" x14ac:dyDescent="0.3">
      <c r="B8" t="s">
        <v>3</v>
      </c>
      <c r="C8" t="b">
        <v>0</v>
      </c>
      <c r="D8">
        <v>51250</v>
      </c>
      <c r="E8">
        <v>227.27</v>
      </c>
    </row>
    <row r="9" spans="1:5" x14ac:dyDescent="0.3">
      <c r="B9" t="s">
        <v>2</v>
      </c>
      <c r="C9" t="b">
        <v>1</v>
      </c>
      <c r="D9">
        <v>27711</v>
      </c>
      <c r="E9">
        <v>217.49</v>
      </c>
    </row>
    <row r="10" spans="1:5" x14ac:dyDescent="0.3">
      <c r="B10" t="s">
        <v>3</v>
      </c>
      <c r="C10" t="b">
        <v>1</v>
      </c>
      <c r="D10">
        <v>27631</v>
      </c>
      <c r="E10">
        <v>228.1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1A107-EA87-40F9-AF74-E1C29FEFA6F5}">
  <dimension ref="A1:AO60"/>
  <sheetViews>
    <sheetView tabSelected="1" topLeftCell="A7" workbookViewId="0">
      <selection activeCell="F23" sqref="F23"/>
    </sheetView>
  </sheetViews>
  <sheetFormatPr defaultRowHeight="14.4" x14ac:dyDescent="0.3"/>
  <sheetData>
    <row r="1" spans="1:41" x14ac:dyDescent="0.3">
      <c r="A1" s="1" t="s">
        <v>128</v>
      </c>
    </row>
    <row r="2" spans="1:41" x14ac:dyDescent="0.3">
      <c r="A2" s="1" t="s">
        <v>129</v>
      </c>
    </row>
    <row r="3" spans="1:41" x14ac:dyDescent="0.3">
      <c r="A3" s="1" t="s">
        <v>130</v>
      </c>
    </row>
    <row r="4" spans="1:41" x14ac:dyDescent="0.3">
      <c r="A4" s="1" t="s">
        <v>131</v>
      </c>
    </row>
    <row r="5" spans="1:41" x14ac:dyDescent="0.3">
      <c r="A5" s="1" t="s">
        <v>132</v>
      </c>
    </row>
    <row r="6" spans="1:41" x14ac:dyDescent="0.3">
      <c r="A6" s="1" t="s">
        <v>133</v>
      </c>
    </row>
    <row r="7" spans="1:41" x14ac:dyDescent="0.3">
      <c r="A7" s="1" t="s">
        <v>134</v>
      </c>
    </row>
    <row r="8" spans="1:41" x14ac:dyDescent="0.3">
      <c r="A8" s="1" t="s">
        <v>135</v>
      </c>
    </row>
    <row r="10" spans="1:41" x14ac:dyDescent="0.3">
      <c r="B10" s="2" t="s">
        <v>61</v>
      </c>
      <c r="C10" s="2" t="s">
        <v>63</v>
      </c>
      <c r="D10" s="2" t="s">
        <v>64</v>
      </c>
      <c r="E10" s="2" t="s">
        <v>136</v>
      </c>
      <c r="F10" s="2" t="s">
        <v>48</v>
      </c>
      <c r="G10" s="2" t="s">
        <v>62</v>
      </c>
      <c r="H10" s="2" t="s">
        <v>137</v>
      </c>
      <c r="I10" s="2" t="s">
        <v>138</v>
      </c>
      <c r="J10" s="2" t="s">
        <v>139</v>
      </c>
      <c r="K10" s="2" t="s">
        <v>140</v>
      </c>
      <c r="L10" s="2" t="s">
        <v>141</v>
      </c>
      <c r="M10" s="2" t="s">
        <v>142</v>
      </c>
      <c r="N10" s="2" t="s">
        <v>143</v>
      </c>
      <c r="O10" s="2" t="s">
        <v>144</v>
      </c>
      <c r="P10" s="2" t="s">
        <v>145</v>
      </c>
      <c r="Q10" s="2" t="s">
        <v>146</v>
      </c>
      <c r="R10" s="2" t="s">
        <v>147</v>
      </c>
      <c r="S10" s="2" t="s">
        <v>148</v>
      </c>
      <c r="T10" s="2" t="s">
        <v>149</v>
      </c>
      <c r="U10" s="2" t="s">
        <v>150</v>
      </c>
      <c r="V10" s="2" t="s">
        <v>151</v>
      </c>
      <c r="W10" s="2" t="s">
        <v>152</v>
      </c>
      <c r="X10" s="2" t="s">
        <v>153</v>
      </c>
      <c r="Y10" s="2" t="s">
        <v>154</v>
      </c>
      <c r="Z10" s="2" t="s">
        <v>155</v>
      </c>
      <c r="AA10" s="2" t="s">
        <v>156</v>
      </c>
      <c r="AB10" s="2" t="s">
        <v>157</v>
      </c>
      <c r="AC10" s="2" t="s">
        <v>126</v>
      </c>
      <c r="AD10" s="2" t="s">
        <v>114</v>
      </c>
      <c r="AE10" s="2" t="s">
        <v>158</v>
      </c>
      <c r="AF10" s="2" t="s">
        <v>159</v>
      </c>
      <c r="AG10" s="2" t="s">
        <v>160</v>
      </c>
      <c r="AH10" s="2" t="s">
        <v>161</v>
      </c>
      <c r="AI10" s="2" t="s">
        <v>162</v>
      </c>
      <c r="AJ10" s="2" t="s">
        <v>163</v>
      </c>
      <c r="AK10" s="2" t="s">
        <v>164</v>
      </c>
      <c r="AL10" s="2" t="s">
        <v>68</v>
      </c>
      <c r="AM10" s="2" t="s">
        <v>65</v>
      </c>
      <c r="AN10" s="2" t="s">
        <v>66</v>
      </c>
      <c r="AO10" s="2" t="s">
        <v>165</v>
      </c>
    </row>
    <row r="11" spans="1:41" x14ac:dyDescent="0.3">
      <c r="B11">
        <v>1</v>
      </c>
      <c r="C11" t="s">
        <v>166</v>
      </c>
      <c r="D11" s="8">
        <v>0.97407407407407409</v>
      </c>
      <c r="E11" t="s">
        <v>3</v>
      </c>
      <c r="F11" t="s">
        <v>52</v>
      </c>
      <c r="G11">
        <v>3191</v>
      </c>
      <c r="H11" t="s">
        <v>167</v>
      </c>
      <c r="I11" t="s">
        <v>168</v>
      </c>
      <c r="J11">
        <v>22</v>
      </c>
      <c r="K11" t="s">
        <v>169</v>
      </c>
      <c r="L11" t="s">
        <v>170</v>
      </c>
      <c r="M11">
        <v>97</v>
      </c>
      <c r="N11" t="s">
        <v>171</v>
      </c>
      <c r="O11" t="s">
        <v>172</v>
      </c>
      <c r="P11" t="s">
        <v>173</v>
      </c>
      <c r="Q11">
        <v>133</v>
      </c>
      <c r="R11">
        <v>14</v>
      </c>
      <c r="S11" t="s">
        <v>3</v>
      </c>
      <c r="T11" t="s">
        <v>174</v>
      </c>
      <c r="U11">
        <v>560004</v>
      </c>
      <c r="V11" t="b">
        <v>1</v>
      </c>
      <c r="W11" t="s">
        <v>175</v>
      </c>
      <c r="X11" t="s">
        <v>176</v>
      </c>
      <c r="Y11" t="s">
        <v>177</v>
      </c>
      <c r="Z11">
        <v>20</v>
      </c>
      <c r="AA11">
        <v>100</v>
      </c>
      <c r="AB11">
        <v>299</v>
      </c>
      <c r="AC11" t="b">
        <v>1</v>
      </c>
      <c r="AD11" t="s">
        <v>118</v>
      </c>
      <c r="AE11" t="s">
        <v>178</v>
      </c>
      <c r="AF11" t="s">
        <v>179</v>
      </c>
      <c r="AG11" t="s">
        <v>180</v>
      </c>
      <c r="AH11">
        <v>133</v>
      </c>
      <c r="AI11">
        <v>0</v>
      </c>
      <c r="AJ11">
        <v>25</v>
      </c>
      <c r="AK11">
        <v>25</v>
      </c>
      <c r="AL11">
        <v>108</v>
      </c>
      <c r="AM11" t="b">
        <v>1</v>
      </c>
      <c r="AN11">
        <v>20</v>
      </c>
      <c r="AO11" t="s">
        <v>181</v>
      </c>
    </row>
    <row r="12" spans="1:41" x14ac:dyDescent="0.3">
      <c r="B12">
        <v>2</v>
      </c>
      <c r="C12" t="s">
        <v>182</v>
      </c>
      <c r="D12" s="8">
        <v>0.83060185185185187</v>
      </c>
      <c r="E12" t="s">
        <v>3</v>
      </c>
      <c r="F12" t="s">
        <v>50</v>
      </c>
      <c r="G12">
        <v>5778</v>
      </c>
      <c r="H12" t="s">
        <v>183</v>
      </c>
      <c r="I12" t="s">
        <v>184</v>
      </c>
      <c r="J12">
        <v>43</v>
      </c>
      <c r="K12" t="s">
        <v>97</v>
      </c>
      <c r="L12" t="s">
        <v>185</v>
      </c>
      <c r="M12">
        <v>69</v>
      </c>
      <c r="N12" t="s">
        <v>186</v>
      </c>
      <c r="O12" t="s">
        <v>187</v>
      </c>
      <c r="P12" t="s">
        <v>173</v>
      </c>
      <c r="Q12">
        <v>276</v>
      </c>
      <c r="R12">
        <v>16</v>
      </c>
      <c r="S12" t="s">
        <v>3</v>
      </c>
      <c r="T12" t="s">
        <v>174</v>
      </c>
      <c r="U12">
        <v>560034</v>
      </c>
      <c r="V12" t="b">
        <v>1</v>
      </c>
      <c r="W12" t="s">
        <v>188</v>
      </c>
      <c r="X12" t="s">
        <v>189</v>
      </c>
      <c r="Y12" t="s">
        <v>177</v>
      </c>
      <c r="Z12">
        <v>50</v>
      </c>
      <c r="AA12">
        <v>150</v>
      </c>
      <c r="AB12">
        <v>199</v>
      </c>
      <c r="AC12" t="b">
        <v>1</v>
      </c>
      <c r="AD12" t="s">
        <v>118</v>
      </c>
      <c r="AE12" t="s">
        <v>178</v>
      </c>
      <c r="AF12" t="s">
        <v>179</v>
      </c>
      <c r="AG12" t="s">
        <v>180</v>
      </c>
      <c r="AH12">
        <v>552</v>
      </c>
      <c r="AI12">
        <v>150</v>
      </c>
      <c r="AJ12">
        <v>10</v>
      </c>
      <c r="AK12">
        <v>160</v>
      </c>
      <c r="AL12">
        <v>392</v>
      </c>
      <c r="AM12" t="b">
        <v>1</v>
      </c>
      <c r="AN12">
        <v>36</v>
      </c>
      <c r="AO12" t="s">
        <v>181</v>
      </c>
    </row>
    <row r="13" spans="1:41" x14ac:dyDescent="0.3">
      <c r="B13">
        <v>3</v>
      </c>
      <c r="C13" t="s">
        <v>190</v>
      </c>
      <c r="D13" s="8">
        <v>0.26150462962962961</v>
      </c>
      <c r="E13" t="s">
        <v>3</v>
      </c>
      <c r="F13" t="s">
        <v>51</v>
      </c>
      <c r="G13">
        <v>5622</v>
      </c>
      <c r="H13" t="s">
        <v>191</v>
      </c>
      <c r="I13" t="s">
        <v>168</v>
      </c>
      <c r="J13">
        <v>43</v>
      </c>
      <c r="K13" t="s">
        <v>192</v>
      </c>
      <c r="L13" t="s">
        <v>170</v>
      </c>
      <c r="M13">
        <v>76</v>
      </c>
      <c r="N13" t="s">
        <v>193</v>
      </c>
      <c r="O13" t="s">
        <v>194</v>
      </c>
      <c r="P13" t="s">
        <v>173</v>
      </c>
      <c r="Q13">
        <v>157</v>
      </c>
      <c r="R13">
        <v>13</v>
      </c>
      <c r="S13" t="s">
        <v>3</v>
      </c>
      <c r="T13" t="s">
        <v>174</v>
      </c>
      <c r="U13">
        <v>560003</v>
      </c>
      <c r="V13" t="b">
        <v>0</v>
      </c>
      <c r="W13" t="s">
        <v>195</v>
      </c>
      <c r="X13" t="s">
        <v>196</v>
      </c>
      <c r="Y13" t="s">
        <v>195</v>
      </c>
      <c r="Z13">
        <v>0</v>
      </c>
      <c r="AA13">
        <v>0</v>
      </c>
      <c r="AB13">
        <v>0</v>
      </c>
      <c r="AC13" t="b">
        <v>1</v>
      </c>
      <c r="AD13" t="s">
        <v>118</v>
      </c>
      <c r="AE13" t="s">
        <v>178</v>
      </c>
      <c r="AF13" t="s">
        <v>179</v>
      </c>
      <c r="AG13" t="s">
        <v>180</v>
      </c>
      <c r="AH13">
        <v>157</v>
      </c>
      <c r="AI13">
        <v>0</v>
      </c>
      <c r="AJ13">
        <v>25</v>
      </c>
      <c r="AK13">
        <v>25</v>
      </c>
      <c r="AL13">
        <v>132</v>
      </c>
      <c r="AM13" t="b">
        <v>1</v>
      </c>
      <c r="AN13">
        <v>30</v>
      </c>
      <c r="AO13" t="s">
        <v>181</v>
      </c>
    </row>
    <row r="14" spans="1:41" x14ac:dyDescent="0.3">
      <c r="B14">
        <v>4</v>
      </c>
      <c r="C14" t="s">
        <v>197</v>
      </c>
      <c r="D14" s="8">
        <v>7.9953703703703707E-2</v>
      </c>
      <c r="E14" t="s">
        <v>2</v>
      </c>
      <c r="F14" t="s">
        <v>52</v>
      </c>
      <c r="G14">
        <v>1117</v>
      </c>
      <c r="H14" t="s">
        <v>198</v>
      </c>
      <c r="I14" t="s">
        <v>184</v>
      </c>
      <c r="J14">
        <v>43</v>
      </c>
      <c r="K14" t="s">
        <v>76</v>
      </c>
      <c r="L14" t="s">
        <v>195</v>
      </c>
      <c r="M14">
        <v>52</v>
      </c>
      <c r="N14" t="s">
        <v>199</v>
      </c>
      <c r="O14" t="s">
        <v>200</v>
      </c>
      <c r="P14" t="s">
        <v>201</v>
      </c>
      <c r="Q14">
        <v>103</v>
      </c>
      <c r="R14">
        <v>9</v>
      </c>
      <c r="S14" t="s">
        <v>2</v>
      </c>
      <c r="T14" t="s">
        <v>202</v>
      </c>
      <c r="U14">
        <v>500072</v>
      </c>
      <c r="V14" t="b">
        <v>0</v>
      </c>
      <c r="W14" t="s">
        <v>195</v>
      </c>
      <c r="X14" t="s">
        <v>196</v>
      </c>
      <c r="Y14" t="s">
        <v>195</v>
      </c>
      <c r="Z14">
        <v>0</v>
      </c>
      <c r="AA14">
        <v>0</v>
      </c>
      <c r="AB14">
        <v>0</v>
      </c>
      <c r="AC14" t="b">
        <v>0</v>
      </c>
      <c r="AD14" t="s">
        <v>195</v>
      </c>
      <c r="AE14" t="s">
        <v>203</v>
      </c>
      <c r="AF14" t="s">
        <v>195</v>
      </c>
      <c r="AG14" t="s">
        <v>195</v>
      </c>
      <c r="AH14">
        <v>103</v>
      </c>
      <c r="AI14">
        <v>0</v>
      </c>
      <c r="AJ14">
        <v>0</v>
      </c>
      <c r="AK14">
        <v>0</v>
      </c>
      <c r="AL14">
        <v>103</v>
      </c>
      <c r="AM14" t="b">
        <v>1</v>
      </c>
      <c r="AN14">
        <v>42</v>
      </c>
      <c r="AO14" t="s">
        <v>181</v>
      </c>
    </row>
    <row r="15" spans="1:41" x14ac:dyDescent="0.3">
      <c r="B15">
        <v>5</v>
      </c>
      <c r="C15" t="s">
        <v>204</v>
      </c>
      <c r="D15" s="8">
        <v>0.98305555555555557</v>
      </c>
      <c r="E15" t="s">
        <v>3</v>
      </c>
      <c r="F15" t="s">
        <v>52</v>
      </c>
      <c r="G15">
        <v>4924</v>
      </c>
      <c r="H15" t="s">
        <v>205</v>
      </c>
      <c r="I15" t="s">
        <v>184</v>
      </c>
      <c r="J15">
        <v>26</v>
      </c>
      <c r="K15" t="s">
        <v>206</v>
      </c>
      <c r="L15" t="s">
        <v>195</v>
      </c>
      <c r="M15">
        <v>85</v>
      </c>
      <c r="N15" t="s">
        <v>207</v>
      </c>
      <c r="O15" t="s">
        <v>208</v>
      </c>
      <c r="P15" t="s">
        <v>173</v>
      </c>
      <c r="Q15">
        <v>84</v>
      </c>
      <c r="R15">
        <v>14</v>
      </c>
      <c r="S15" t="s">
        <v>3</v>
      </c>
      <c r="T15" t="s">
        <v>174</v>
      </c>
      <c r="U15">
        <v>560004</v>
      </c>
      <c r="V15" t="b">
        <v>1</v>
      </c>
      <c r="W15" t="s">
        <v>175</v>
      </c>
      <c r="X15" t="s">
        <v>176</v>
      </c>
      <c r="Y15" t="s">
        <v>177</v>
      </c>
      <c r="Z15">
        <v>20</v>
      </c>
      <c r="AA15">
        <v>100</v>
      </c>
      <c r="AB15">
        <v>299</v>
      </c>
      <c r="AC15" t="b">
        <v>0</v>
      </c>
      <c r="AD15" t="s">
        <v>195</v>
      </c>
      <c r="AE15" t="s">
        <v>203</v>
      </c>
      <c r="AF15" t="s">
        <v>195</v>
      </c>
      <c r="AG15" t="s">
        <v>195</v>
      </c>
      <c r="AH15">
        <v>84</v>
      </c>
      <c r="AI15">
        <v>0</v>
      </c>
      <c r="AJ15">
        <v>0</v>
      </c>
      <c r="AK15">
        <v>0</v>
      </c>
      <c r="AL15">
        <v>84</v>
      </c>
      <c r="AM15" t="b">
        <v>1</v>
      </c>
      <c r="AN15">
        <v>30</v>
      </c>
      <c r="AO15" t="s">
        <v>181</v>
      </c>
    </row>
    <row r="16" spans="1:41" x14ac:dyDescent="0.3">
      <c r="B16">
        <v>6</v>
      </c>
      <c r="C16" t="s">
        <v>209</v>
      </c>
      <c r="D16" s="8">
        <v>0.82694444444444448</v>
      </c>
      <c r="E16" t="s">
        <v>2</v>
      </c>
      <c r="F16" t="s">
        <v>51</v>
      </c>
      <c r="G16">
        <v>656</v>
      </c>
      <c r="H16" t="s">
        <v>210</v>
      </c>
      <c r="I16" t="s">
        <v>184</v>
      </c>
      <c r="J16">
        <v>30</v>
      </c>
      <c r="K16" t="s">
        <v>211</v>
      </c>
      <c r="L16" t="s">
        <v>195</v>
      </c>
      <c r="M16">
        <v>50</v>
      </c>
      <c r="N16" t="s">
        <v>199</v>
      </c>
      <c r="O16" t="s">
        <v>212</v>
      </c>
      <c r="P16" t="s">
        <v>213</v>
      </c>
      <c r="Q16">
        <v>60</v>
      </c>
      <c r="R16">
        <v>3</v>
      </c>
      <c r="S16" t="s">
        <v>2</v>
      </c>
      <c r="T16" t="s">
        <v>202</v>
      </c>
      <c r="U16">
        <v>500003</v>
      </c>
      <c r="V16" t="b">
        <v>0</v>
      </c>
      <c r="W16" t="s">
        <v>195</v>
      </c>
      <c r="X16" t="s">
        <v>196</v>
      </c>
      <c r="Y16" t="s">
        <v>195</v>
      </c>
      <c r="Z16">
        <v>0</v>
      </c>
      <c r="AA16">
        <v>0</v>
      </c>
      <c r="AB16">
        <v>0</v>
      </c>
      <c r="AC16" t="b">
        <v>1</v>
      </c>
      <c r="AD16" t="s">
        <v>118</v>
      </c>
      <c r="AE16" t="s">
        <v>178</v>
      </c>
      <c r="AF16" t="s">
        <v>179</v>
      </c>
      <c r="AG16" t="s">
        <v>180</v>
      </c>
      <c r="AH16">
        <v>60</v>
      </c>
      <c r="AI16">
        <v>0</v>
      </c>
      <c r="AJ16">
        <v>0</v>
      </c>
      <c r="AK16">
        <v>0</v>
      </c>
      <c r="AL16">
        <v>60</v>
      </c>
      <c r="AM16" t="b">
        <v>1</v>
      </c>
      <c r="AN16">
        <v>20</v>
      </c>
      <c r="AO16" t="s">
        <v>181</v>
      </c>
    </row>
    <row r="17" spans="2:41" x14ac:dyDescent="0.3">
      <c r="B17">
        <v>7</v>
      </c>
      <c r="C17" t="s">
        <v>214</v>
      </c>
      <c r="D17" s="8">
        <v>0.16659722222222223</v>
      </c>
      <c r="E17" t="s">
        <v>3</v>
      </c>
      <c r="F17" t="s">
        <v>52</v>
      </c>
      <c r="G17">
        <v>3658</v>
      </c>
      <c r="H17" t="s">
        <v>215</v>
      </c>
      <c r="I17" t="s">
        <v>184</v>
      </c>
      <c r="J17">
        <v>33</v>
      </c>
      <c r="K17" t="s">
        <v>216</v>
      </c>
      <c r="L17" t="s">
        <v>195</v>
      </c>
      <c r="M17">
        <v>113</v>
      </c>
      <c r="N17" t="s">
        <v>217</v>
      </c>
      <c r="O17" t="s">
        <v>218</v>
      </c>
      <c r="P17" t="s">
        <v>219</v>
      </c>
      <c r="Q17">
        <v>193</v>
      </c>
      <c r="R17">
        <v>11</v>
      </c>
      <c r="S17" t="s">
        <v>3</v>
      </c>
      <c r="T17" t="s">
        <v>174</v>
      </c>
      <c r="U17">
        <v>560001</v>
      </c>
      <c r="V17" t="b">
        <v>0</v>
      </c>
      <c r="W17" t="s">
        <v>195</v>
      </c>
      <c r="X17" t="s">
        <v>196</v>
      </c>
      <c r="Y17" t="s">
        <v>195</v>
      </c>
      <c r="Z17">
        <v>0</v>
      </c>
      <c r="AA17">
        <v>0</v>
      </c>
      <c r="AB17">
        <v>0</v>
      </c>
      <c r="AC17" t="b">
        <v>0</v>
      </c>
      <c r="AD17" t="s">
        <v>195</v>
      </c>
      <c r="AE17" t="s">
        <v>203</v>
      </c>
      <c r="AF17" t="s">
        <v>195</v>
      </c>
      <c r="AG17" t="s">
        <v>195</v>
      </c>
      <c r="AH17">
        <v>193</v>
      </c>
      <c r="AI17">
        <v>0</v>
      </c>
      <c r="AJ17">
        <v>0</v>
      </c>
      <c r="AK17">
        <v>0</v>
      </c>
      <c r="AL17">
        <v>193</v>
      </c>
      <c r="AM17" t="b">
        <v>1</v>
      </c>
      <c r="AN17">
        <v>56</v>
      </c>
      <c r="AO17" t="s">
        <v>181</v>
      </c>
    </row>
    <row r="18" spans="2:41" x14ac:dyDescent="0.3">
      <c r="B18">
        <v>8</v>
      </c>
      <c r="C18" t="s">
        <v>220</v>
      </c>
      <c r="D18" s="8">
        <v>0.50012731481481476</v>
      </c>
      <c r="E18" t="s">
        <v>3</v>
      </c>
      <c r="F18" t="s">
        <v>51</v>
      </c>
      <c r="G18">
        <v>5253</v>
      </c>
      <c r="H18" t="s">
        <v>221</v>
      </c>
      <c r="I18" t="s">
        <v>184</v>
      </c>
      <c r="J18">
        <v>31</v>
      </c>
      <c r="K18" t="s">
        <v>222</v>
      </c>
      <c r="L18" t="s">
        <v>185</v>
      </c>
      <c r="M18">
        <v>97</v>
      </c>
      <c r="N18" t="s">
        <v>171</v>
      </c>
      <c r="O18" t="s">
        <v>172</v>
      </c>
      <c r="P18" t="s">
        <v>173</v>
      </c>
      <c r="Q18">
        <v>133</v>
      </c>
      <c r="R18">
        <v>12</v>
      </c>
      <c r="S18" t="s">
        <v>3</v>
      </c>
      <c r="T18" t="s">
        <v>174</v>
      </c>
      <c r="U18">
        <v>560002</v>
      </c>
      <c r="V18" t="b">
        <v>1</v>
      </c>
      <c r="W18" t="s">
        <v>188</v>
      </c>
      <c r="X18" t="s">
        <v>189</v>
      </c>
      <c r="Y18" t="s">
        <v>177</v>
      </c>
      <c r="Z18">
        <v>50</v>
      </c>
      <c r="AA18">
        <v>150</v>
      </c>
      <c r="AB18">
        <v>199</v>
      </c>
      <c r="AC18" t="b">
        <v>0</v>
      </c>
      <c r="AD18" t="s">
        <v>195</v>
      </c>
      <c r="AE18" t="s">
        <v>203</v>
      </c>
      <c r="AF18" t="s">
        <v>195</v>
      </c>
      <c r="AG18" t="s">
        <v>195</v>
      </c>
      <c r="AH18">
        <v>133</v>
      </c>
      <c r="AI18">
        <v>0</v>
      </c>
      <c r="AJ18">
        <v>10</v>
      </c>
      <c r="AK18">
        <v>10</v>
      </c>
      <c r="AL18">
        <v>123</v>
      </c>
      <c r="AM18" t="b">
        <v>1</v>
      </c>
      <c r="AN18">
        <v>53</v>
      </c>
      <c r="AO18">
        <v>4.0999999999999996</v>
      </c>
    </row>
    <row r="19" spans="2:41" x14ac:dyDescent="0.3">
      <c r="B19">
        <v>9</v>
      </c>
      <c r="C19" t="s">
        <v>223</v>
      </c>
      <c r="D19" s="8">
        <v>0.32642361111111112</v>
      </c>
      <c r="E19" t="s">
        <v>2</v>
      </c>
      <c r="F19" t="s">
        <v>52</v>
      </c>
      <c r="G19">
        <v>1764</v>
      </c>
      <c r="H19" t="s">
        <v>224</v>
      </c>
      <c r="I19" t="s">
        <v>184</v>
      </c>
      <c r="J19">
        <v>35</v>
      </c>
      <c r="K19" t="s">
        <v>223</v>
      </c>
      <c r="L19" t="s">
        <v>225</v>
      </c>
      <c r="M19">
        <v>9</v>
      </c>
      <c r="N19" t="s">
        <v>226</v>
      </c>
      <c r="O19" t="s">
        <v>227</v>
      </c>
      <c r="P19" t="s">
        <v>228</v>
      </c>
      <c r="Q19">
        <v>99</v>
      </c>
      <c r="R19">
        <v>3</v>
      </c>
      <c r="S19" t="s">
        <v>2</v>
      </c>
      <c r="T19" t="s">
        <v>202</v>
      </c>
      <c r="U19">
        <v>500003</v>
      </c>
      <c r="V19" t="b">
        <v>1</v>
      </c>
      <c r="W19" t="s">
        <v>229</v>
      </c>
      <c r="X19" t="s">
        <v>230</v>
      </c>
      <c r="Y19" t="s">
        <v>231</v>
      </c>
      <c r="Z19">
        <v>80</v>
      </c>
      <c r="AA19">
        <v>80</v>
      </c>
      <c r="AB19">
        <v>249</v>
      </c>
      <c r="AC19" t="b">
        <v>0</v>
      </c>
      <c r="AD19" t="s">
        <v>195</v>
      </c>
      <c r="AE19" t="s">
        <v>203</v>
      </c>
      <c r="AF19" t="s">
        <v>195</v>
      </c>
      <c r="AG19" t="s">
        <v>195</v>
      </c>
      <c r="AH19">
        <v>99</v>
      </c>
      <c r="AI19">
        <v>0</v>
      </c>
      <c r="AJ19">
        <v>25</v>
      </c>
      <c r="AK19">
        <v>25</v>
      </c>
      <c r="AL19">
        <v>74</v>
      </c>
      <c r="AM19" t="b">
        <v>1</v>
      </c>
      <c r="AN19">
        <v>33</v>
      </c>
      <c r="AO19" t="s">
        <v>181</v>
      </c>
    </row>
    <row r="20" spans="2:41" x14ac:dyDescent="0.3">
      <c r="B20">
        <v>10</v>
      </c>
      <c r="C20" t="s">
        <v>102</v>
      </c>
      <c r="D20" s="8">
        <v>0.98859953703703707</v>
      </c>
      <c r="E20" t="s">
        <v>2</v>
      </c>
      <c r="F20" t="s">
        <v>52</v>
      </c>
      <c r="G20">
        <v>2618</v>
      </c>
      <c r="H20" t="s">
        <v>232</v>
      </c>
      <c r="I20" t="s">
        <v>184</v>
      </c>
      <c r="J20">
        <v>30</v>
      </c>
      <c r="K20" t="s">
        <v>233</v>
      </c>
      <c r="L20" t="s">
        <v>195</v>
      </c>
      <c r="M20">
        <v>40</v>
      </c>
      <c r="N20" t="s">
        <v>234</v>
      </c>
      <c r="O20" t="s">
        <v>235</v>
      </c>
      <c r="P20" t="s">
        <v>236</v>
      </c>
      <c r="Q20">
        <v>129</v>
      </c>
      <c r="R20">
        <v>6</v>
      </c>
      <c r="S20" t="s">
        <v>2</v>
      </c>
      <c r="T20" t="s">
        <v>202</v>
      </c>
      <c r="U20">
        <v>500018</v>
      </c>
      <c r="V20" t="b">
        <v>1</v>
      </c>
      <c r="W20" t="s">
        <v>229</v>
      </c>
      <c r="X20" t="s">
        <v>230</v>
      </c>
      <c r="Y20" t="s">
        <v>231</v>
      </c>
      <c r="Z20">
        <v>80</v>
      </c>
      <c r="AA20">
        <v>80</v>
      </c>
      <c r="AB20">
        <v>249</v>
      </c>
      <c r="AC20" t="b">
        <v>0</v>
      </c>
      <c r="AD20" t="s">
        <v>195</v>
      </c>
      <c r="AE20" t="s">
        <v>203</v>
      </c>
      <c r="AF20" t="s">
        <v>195</v>
      </c>
      <c r="AG20" t="s">
        <v>195</v>
      </c>
      <c r="AH20">
        <v>129</v>
      </c>
      <c r="AI20">
        <v>0</v>
      </c>
      <c r="AJ20">
        <v>0</v>
      </c>
      <c r="AK20">
        <v>0</v>
      </c>
      <c r="AL20">
        <v>129</v>
      </c>
      <c r="AM20" t="b">
        <v>1</v>
      </c>
      <c r="AN20">
        <v>36</v>
      </c>
      <c r="AO20">
        <v>3.6</v>
      </c>
    </row>
    <row r="21" spans="2:41" x14ac:dyDescent="0.3">
      <c r="B21">
        <v>11</v>
      </c>
      <c r="C21" t="s">
        <v>237</v>
      </c>
      <c r="D21" s="8">
        <v>0.92962962962962958</v>
      </c>
      <c r="E21" t="s">
        <v>2</v>
      </c>
      <c r="F21" t="s">
        <v>51</v>
      </c>
      <c r="G21">
        <v>1099</v>
      </c>
      <c r="H21" t="s">
        <v>238</v>
      </c>
      <c r="I21" t="s">
        <v>184</v>
      </c>
      <c r="J21">
        <v>30</v>
      </c>
      <c r="K21" t="s">
        <v>239</v>
      </c>
      <c r="L21" t="s">
        <v>195</v>
      </c>
      <c r="M21">
        <v>13</v>
      </c>
      <c r="N21" t="s">
        <v>226</v>
      </c>
      <c r="O21" t="s">
        <v>240</v>
      </c>
      <c r="P21" t="s">
        <v>241</v>
      </c>
      <c r="Q21">
        <v>131</v>
      </c>
      <c r="R21">
        <v>7</v>
      </c>
      <c r="S21" t="s">
        <v>2</v>
      </c>
      <c r="T21" t="s">
        <v>202</v>
      </c>
      <c r="U21">
        <v>500032</v>
      </c>
      <c r="V21" t="b">
        <v>0</v>
      </c>
      <c r="W21" t="s">
        <v>195</v>
      </c>
      <c r="X21" t="s">
        <v>196</v>
      </c>
      <c r="Y21" t="s">
        <v>195</v>
      </c>
      <c r="Z21">
        <v>0</v>
      </c>
      <c r="AA21">
        <v>0</v>
      </c>
      <c r="AB21">
        <v>0</v>
      </c>
      <c r="AC21" t="b">
        <v>0</v>
      </c>
      <c r="AD21" t="s">
        <v>195</v>
      </c>
      <c r="AE21" t="s">
        <v>203</v>
      </c>
      <c r="AF21" t="s">
        <v>195</v>
      </c>
      <c r="AG21" t="s">
        <v>195</v>
      </c>
      <c r="AH21">
        <v>131</v>
      </c>
      <c r="AI21">
        <v>0</v>
      </c>
      <c r="AJ21">
        <v>0</v>
      </c>
      <c r="AK21">
        <v>0</v>
      </c>
      <c r="AL21">
        <v>131</v>
      </c>
      <c r="AM21" t="b">
        <v>1</v>
      </c>
      <c r="AN21">
        <v>23</v>
      </c>
      <c r="AO21" t="s">
        <v>181</v>
      </c>
    </row>
    <row r="22" spans="2:41" x14ac:dyDescent="0.3">
      <c r="B22">
        <v>12</v>
      </c>
      <c r="C22" t="s">
        <v>73</v>
      </c>
      <c r="D22" s="8">
        <v>0.88937500000000003</v>
      </c>
      <c r="E22" t="s">
        <v>2</v>
      </c>
      <c r="F22" t="s">
        <v>51</v>
      </c>
      <c r="G22">
        <v>170</v>
      </c>
      <c r="H22" t="s">
        <v>242</v>
      </c>
      <c r="I22" t="s">
        <v>184</v>
      </c>
      <c r="J22">
        <v>24</v>
      </c>
      <c r="K22" t="s">
        <v>243</v>
      </c>
      <c r="L22" t="s">
        <v>195</v>
      </c>
      <c r="M22">
        <v>39</v>
      </c>
      <c r="N22" t="s">
        <v>234</v>
      </c>
      <c r="O22" t="s">
        <v>244</v>
      </c>
      <c r="P22" t="s">
        <v>219</v>
      </c>
      <c r="Q22">
        <v>200</v>
      </c>
      <c r="R22">
        <v>10</v>
      </c>
      <c r="S22" t="s">
        <v>2</v>
      </c>
      <c r="T22" t="s">
        <v>202</v>
      </c>
      <c r="U22">
        <v>500081</v>
      </c>
      <c r="V22" t="b">
        <v>0</v>
      </c>
      <c r="W22" t="s">
        <v>195</v>
      </c>
      <c r="X22" t="s">
        <v>196</v>
      </c>
      <c r="Y22" t="s">
        <v>195</v>
      </c>
      <c r="Z22">
        <v>0</v>
      </c>
      <c r="AA22">
        <v>0</v>
      </c>
      <c r="AB22">
        <v>0</v>
      </c>
      <c r="AC22" t="b">
        <v>1</v>
      </c>
      <c r="AD22" t="s">
        <v>119</v>
      </c>
      <c r="AE22" t="s">
        <v>245</v>
      </c>
      <c r="AF22" t="s">
        <v>246</v>
      </c>
      <c r="AG22" t="s">
        <v>247</v>
      </c>
      <c r="AH22">
        <v>200</v>
      </c>
      <c r="AI22">
        <v>0</v>
      </c>
      <c r="AJ22">
        <v>0</v>
      </c>
      <c r="AK22">
        <v>0</v>
      </c>
      <c r="AL22">
        <v>200</v>
      </c>
      <c r="AM22" t="b">
        <v>1</v>
      </c>
      <c r="AN22">
        <v>48</v>
      </c>
      <c r="AO22" t="s">
        <v>181</v>
      </c>
    </row>
    <row r="23" spans="2:41" x14ac:dyDescent="0.3">
      <c r="B23">
        <v>13</v>
      </c>
      <c r="C23" t="s">
        <v>248</v>
      </c>
      <c r="D23" s="8">
        <v>0.80170138888888887</v>
      </c>
      <c r="E23" t="s">
        <v>2</v>
      </c>
      <c r="F23" t="s">
        <v>51</v>
      </c>
      <c r="G23">
        <v>2790</v>
      </c>
      <c r="H23" t="s">
        <v>249</v>
      </c>
      <c r="I23" t="s">
        <v>184</v>
      </c>
      <c r="J23">
        <v>29</v>
      </c>
      <c r="K23" t="s">
        <v>250</v>
      </c>
      <c r="L23" t="s">
        <v>195</v>
      </c>
      <c r="M23">
        <v>46</v>
      </c>
      <c r="N23" t="s">
        <v>251</v>
      </c>
      <c r="O23" t="s">
        <v>252</v>
      </c>
      <c r="P23" t="s">
        <v>253</v>
      </c>
      <c r="Q23">
        <v>88</v>
      </c>
      <c r="R23">
        <v>9</v>
      </c>
      <c r="S23" t="s">
        <v>2</v>
      </c>
      <c r="T23" t="s">
        <v>202</v>
      </c>
      <c r="U23">
        <v>500072</v>
      </c>
      <c r="V23" t="b">
        <v>0</v>
      </c>
      <c r="W23" t="s">
        <v>195</v>
      </c>
      <c r="X23" t="s">
        <v>196</v>
      </c>
      <c r="Y23" t="s">
        <v>195</v>
      </c>
      <c r="Z23">
        <v>0</v>
      </c>
      <c r="AA23">
        <v>0</v>
      </c>
      <c r="AB23">
        <v>0</v>
      </c>
      <c r="AC23" t="b">
        <v>0</v>
      </c>
      <c r="AD23" t="s">
        <v>195</v>
      </c>
      <c r="AE23" t="s">
        <v>203</v>
      </c>
      <c r="AF23" t="s">
        <v>195</v>
      </c>
      <c r="AG23" t="s">
        <v>195</v>
      </c>
      <c r="AH23">
        <v>88</v>
      </c>
      <c r="AI23">
        <v>0</v>
      </c>
      <c r="AJ23">
        <v>0</v>
      </c>
      <c r="AK23">
        <v>0</v>
      </c>
      <c r="AL23">
        <v>88</v>
      </c>
      <c r="AM23" t="b">
        <v>1</v>
      </c>
      <c r="AN23">
        <v>40</v>
      </c>
      <c r="AO23" t="s">
        <v>181</v>
      </c>
    </row>
    <row r="24" spans="2:41" x14ac:dyDescent="0.3">
      <c r="B24">
        <v>14</v>
      </c>
      <c r="C24" t="s">
        <v>254</v>
      </c>
      <c r="D24" s="8">
        <v>0.45873842592592595</v>
      </c>
      <c r="E24" t="s">
        <v>3</v>
      </c>
      <c r="F24" t="s">
        <v>52</v>
      </c>
      <c r="G24">
        <v>4818</v>
      </c>
      <c r="H24" t="s">
        <v>255</v>
      </c>
      <c r="I24" t="s">
        <v>168</v>
      </c>
      <c r="J24">
        <v>23</v>
      </c>
      <c r="K24" t="s">
        <v>256</v>
      </c>
      <c r="L24" t="s">
        <v>195</v>
      </c>
      <c r="M24">
        <v>100</v>
      </c>
      <c r="N24" t="s">
        <v>171</v>
      </c>
      <c r="O24" t="s">
        <v>257</v>
      </c>
      <c r="P24" t="s">
        <v>236</v>
      </c>
      <c r="Q24">
        <v>109</v>
      </c>
      <c r="R24">
        <v>19</v>
      </c>
      <c r="S24" t="s">
        <v>3</v>
      </c>
      <c r="T24" t="s">
        <v>174</v>
      </c>
      <c r="U24">
        <v>560076</v>
      </c>
      <c r="V24" t="b">
        <v>0</v>
      </c>
      <c r="W24" t="s">
        <v>195</v>
      </c>
      <c r="X24" t="s">
        <v>196</v>
      </c>
      <c r="Y24" t="s">
        <v>195</v>
      </c>
      <c r="Z24">
        <v>0</v>
      </c>
      <c r="AA24">
        <v>0</v>
      </c>
      <c r="AB24">
        <v>0</v>
      </c>
      <c r="AC24" t="b">
        <v>1</v>
      </c>
      <c r="AD24" t="s">
        <v>119</v>
      </c>
      <c r="AE24" t="s">
        <v>245</v>
      </c>
      <c r="AF24" t="s">
        <v>246</v>
      </c>
      <c r="AG24" t="s">
        <v>247</v>
      </c>
      <c r="AH24">
        <v>109</v>
      </c>
      <c r="AI24">
        <v>0</v>
      </c>
      <c r="AJ24">
        <v>0</v>
      </c>
      <c r="AK24">
        <v>0</v>
      </c>
      <c r="AL24">
        <v>109</v>
      </c>
      <c r="AM24" t="b">
        <v>1</v>
      </c>
      <c r="AN24">
        <v>28</v>
      </c>
      <c r="AO24">
        <v>3.4</v>
      </c>
    </row>
    <row r="25" spans="2:41" x14ac:dyDescent="0.3">
      <c r="B25">
        <v>15</v>
      </c>
      <c r="C25" t="s">
        <v>182</v>
      </c>
      <c r="D25" s="8">
        <v>0.70378472222222221</v>
      </c>
      <c r="E25" t="s">
        <v>3</v>
      </c>
      <c r="F25" t="s">
        <v>52</v>
      </c>
      <c r="G25">
        <v>3920</v>
      </c>
      <c r="H25" t="s">
        <v>258</v>
      </c>
      <c r="I25" t="s">
        <v>168</v>
      </c>
      <c r="J25">
        <v>28</v>
      </c>
      <c r="K25" t="s">
        <v>259</v>
      </c>
      <c r="L25" t="s">
        <v>185</v>
      </c>
      <c r="M25">
        <v>61</v>
      </c>
      <c r="N25" t="s">
        <v>260</v>
      </c>
      <c r="O25" t="s">
        <v>261</v>
      </c>
      <c r="P25" t="s">
        <v>173</v>
      </c>
      <c r="Q25">
        <v>98</v>
      </c>
      <c r="R25">
        <v>18</v>
      </c>
      <c r="S25" t="s">
        <v>3</v>
      </c>
      <c r="T25" t="s">
        <v>174</v>
      </c>
      <c r="U25">
        <v>560068</v>
      </c>
      <c r="V25" t="b">
        <v>0</v>
      </c>
      <c r="W25" t="s">
        <v>195</v>
      </c>
      <c r="X25" t="s">
        <v>196</v>
      </c>
      <c r="Y25" t="s">
        <v>195</v>
      </c>
      <c r="Z25">
        <v>0</v>
      </c>
      <c r="AA25">
        <v>0</v>
      </c>
      <c r="AB25">
        <v>0</v>
      </c>
      <c r="AC25" t="b">
        <v>0</v>
      </c>
      <c r="AD25" t="s">
        <v>195</v>
      </c>
      <c r="AE25" t="s">
        <v>203</v>
      </c>
      <c r="AF25" t="s">
        <v>195</v>
      </c>
      <c r="AG25" t="s">
        <v>195</v>
      </c>
      <c r="AH25">
        <v>196</v>
      </c>
      <c r="AI25">
        <v>0</v>
      </c>
      <c r="AJ25">
        <v>10</v>
      </c>
      <c r="AK25">
        <v>10</v>
      </c>
      <c r="AL25">
        <v>186</v>
      </c>
      <c r="AM25" t="b">
        <v>1</v>
      </c>
      <c r="AN25">
        <v>37</v>
      </c>
      <c r="AO25" t="s">
        <v>181</v>
      </c>
    </row>
    <row r="26" spans="2:41" x14ac:dyDescent="0.3">
      <c r="B26">
        <v>16</v>
      </c>
      <c r="C26" t="s">
        <v>262</v>
      </c>
      <c r="D26" s="8">
        <v>0.37311342592592595</v>
      </c>
      <c r="E26" t="s">
        <v>2</v>
      </c>
      <c r="F26" t="s">
        <v>52</v>
      </c>
      <c r="G26">
        <v>853</v>
      </c>
      <c r="H26" t="s">
        <v>263</v>
      </c>
      <c r="I26" t="s">
        <v>168</v>
      </c>
      <c r="J26">
        <v>47</v>
      </c>
      <c r="K26" t="s">
        <v>264</v>
      </c>
      <c r="L26" t="s">
        <v>170</v>
      </c>
      <c r="M26">
        <v>30</v>
      </c>
      <c r="N26" t="s">
        <v>265</v>
      </c>
      <c r="O26" t="s">
        <v>266</v>
      </c>
      <c r="P26" t="s">
        <v>173</v>
      </c>
      <c r="Q26">
        <v>107</v>
      </c>
      <c r="R26">
        <v>2</v>
      </c>
      <c r="S26" t="s">
        <v>2</v>
      </c>
      <c r="T26" t="s">
        <v>202</v>
      </c>
      <c r="U26">
        <v>500002</v>
      </c>
      <c r="V26" t="b">
        <v>0</v>
      </c>
      <c r="W26" t="s">
        <v>195</v>
      </c>
      <c r="X26" t="s">
        <v>196</v>
      </c>
      <c r="Y26" t="s">
        <v>195</v>
      </c>
      <c r="Z26">
        <v>0</v>
      </c>
      <c r="AA26">
        <v>0</v>
      </c>
      <c r="AB26">
        <v>0</v>
      </c>
      <c r="AC26" t="b">
        <v>1</v>
      </c>
      <c r="AD26" t="s">
        <v>118</v>
      </c>
      <c r="AE26" t="s">
        <v>178</v>
      </c>
      <c r="AF26" t="s">
        <v>179</v>
      </c>
      <c r="AG26" t="s">
        <v>180</v>
      </c>
      <c r="AH26">
        <v>107</v>
      </c>
      <c r="AI26">
        <v>0</v>
      </c>
      <c r="AJ26">
        <v>25</v>
      </c>
      <c r="AK26">
        <v>25</v>
      </c>
      <c r="AL26">
        <v>82</v>
      </c>
      <c r="AM26" t="b">
        <v>1</v>
      </c>
      <c r="AN26">
        <v>37</v>
      </c>
      <c r="AO26" t="s">
        <v>181</v>
      </c>
    </row>
    <row r="27" spans="2:41" x14ac:dyDescent="0.3">
      <c r="B27">
        <v>17</v>
      </c>
      <c r="C27" t="s">
        <v>237</v>
      </c>
      <c r="D27" s="8">
        <v>0.45002314814814814</v>
      </c>
      <c r="E27" t="s">
        <v>2</v>
      </c>
      <c r="F27" t="s">
        <v>52</v>
      </c>
      <c r="G27">
        <v>818</v>
      </c>
      <c r="H27" t="s">
        <v>267</v>
      </c>
      <c r="I27" t="s">
        <v>184</v>
      </c>
      <c r="J27">
        <v>29</v>
      </c>
      <c r="K27" t="s">
        <v>268</v>
      </c>
      <c r="L27" t="s">
        <v>195</v>
      </c>
      <c r="M27">
        <v>2</v>
      </c>
      <c r="N27" t="s">
        <v>269</v>
      </c>
      <c r="O27" t="s">
        <v>270</v>
      </c>
      <c r="P27" t="s">
        <v>236</v>
      </c>
      <c r="Q27">
        <v>254</v>
      </c>
      <c r="R27">
        <v>4</v>
      </c>
      <c r="S27" t="s">
        <v>2</v>
      </c>
      <c r="T27" t="s">
        <v>202</v>
      </c>
      <c r="U27">
        <v>500004</v>
      </c>
      <c r="V27" t="b">
        <v>0</v>
      </c>
      <c r="W27" t="s">
        <v>195</v>
      </c>
      <c r="X27" t="s">
        <v>196</v>
      </c>
      <c r="Y27" t="s">
        <v>195</v>
      </c>
      <c r="Z27">
        <v>0</v>
      </c>
      <c r="AA27">
        <v>0</v>
      </c>
      <c r="AB27">
        <v>0</v>
      </c>
      <c r="AC27" t="b">
        <v>1</v>
      </c>
      <c r="AD27" t="s">
        <v>119</v>
      </c>
      <c r="AE27" t="s">
        <v>245</v>
      </c>
      <c r="AF27" t="s">
        <v>246</v>
      </c>
      <c r="AG27" t="s">
        <v>247</v>
      </c>
      <c r="AH27">
        <v>254</v>
      </c>
      <c r="AI27">
        <v>0</v>
      </c>
      <c r="AJ27">
        <v>0</v>
      </c>
      <c r="AK27">
        <v>0</v>
      </c>
      <c r="AL27">
        <v>254</v>
      </c>
      <c r="AM27" t="b">
        <v>1</v>
      </c>
      <c r="AN27">
        <v>52</v>
      </c>
      <c r="AO27" t="s">
        <v>181</v>
      </c>
    </row>
    <row r="28" spans="2:41" x14ac:dyDescent="0.3">
      <c r="B28">
        <v>18</v>
      </c>
      <c r="C28" t="s">
        <v>271</v>
      </c>
      <c r="D28" s="8">
        <v>0.60246527777777781</v>
      </c>
      <c r="E28" t="s">
        <v>3</v>
      </c>
      <c r="F28" t="s">
        <v>52</v>
      </c>
      <c r="G28">
        <v>3967</v>
      </c>
      <c r="H28" t="s">
        <v>272</v>
      </c>
      <c r="I28" t="s">
        <v>184</v>
      </c>
      <c r="J28">
        <v>34</v>
      </c>
      <c r="K28" t="s">
        <v>273</v>
      </c>
      <c r="L28" t="s">
        <v>185</v>
      </c>
      <c r="M28">
        <v>60</v>
      </c>
      <c r="N28" t="s">
        <v>260</v>
      </c>
      <c r="O28" t="s">
        <v>274</v>
      </c>
      <c r="P28" t="s">
        <v>213</v>
      </c>
      <c r="Q28">
        <v>164</v>
      </c>
      <c r="R28">
        <v>11</v>
      </c>
      <c r="S28" t="s">
        <v>3</v>
      </c>
      <c r="T28" t="s">
        <v>174</v>
      </c>
      <c r="U28">
        <v>560001</v>
      </c>
      <c r="V28" t="b">
        <v>1</v>
      </c>
      <c r="W28" t="s">
        <v>229</v>
      </c>
      <c r="X28" t="s">
        <v>230</v>
      </c>
      <c r="Y28" t="s">
        <v>231</v>
      </c>
      <c r="Z28">
        <v>80</v>
      </c>
      <c r="AA28">
        <v>80</v>
      </c>
      <c r="AB28">
        <v>249</v>
      </c>
      <c r="AC28" t="b">
        <v>1</v>
      </c>
      <c r="AD28" t="s">
        <v>120</v>
      </c>
      <c r="AE28" t="s">
        <v>275</v>
      </c>
      <c r="AF28" t="s">
        <v>276</v>
      </c>
      <c r="AG28" t="s">
        <v>277</v>
      </c>
      <c r="AH28">
        <v>328</v>
      </c>
      <c r="AI28">
        <v>80</v>
      </c>
      <c r="AJ28">
        <v>10</v>
      </c>
      <c r="AK28">
        <v>90</v>
      </c>
      <c r="AL28">
        <v>238</v>
      </c>
      <c r="AM28" t="b">
        <v>1</v>
      </c>
      <c r="AN28">
        <v>39</v>
      </c>
      <c r="AO28" t="s">
        <v>181</v>
      </c>
    </row>
    <row r="29" spans="2:41" x14ac:dyDescent="0.3">
      <c r="B29">
        <v>19</v>
      </c>
      <c r="C29" t="s">
        <v>278</v>
      </c>
      <c r="D29" s="8">
        <v>0.42648148148148146</v>
      </c>
      <c r="E29" t="s">
        <v>2</v>
      </c>
      <c r="F29" t="s">
        <v>51</v>
      </c>
      <c r="G29">
        <v>2814</v>
      </c>
      <c r="H29" t="s">
        <v>279</v>
      </c>
      <c r="I29" t="s">
        <v>168</v>
      </c>
      <c r="J29">
        <v>42</v>
      </c>
      <c r="K29" t="s">
        <v>166</v>
      </c>
      <c r="L29" t="s">
        <v>185</v>
      </c>
      <c r="M29">
        <v>38</v>
      </c>
      <c r="N29" t="s">
        <v>234</v>
      </c>
      <c r="O29" t="s">
        <v>270</v>
      </c>
      <c r="P29" t="s">
        <v>253</v>
      </c>
      <c r="Q29">
        <v>172</v>
      </c>
      <c r="R29">
        <v>5</v>
      </c>
      <c r="S29" t="s">
        <v>2</v>
      </c>
      <c r="T29" t="s">
        <v>202</v>
      </c>
      <c r="U29">
        <v>500016</v>
      </c>
      <c r="V29" t="b">
        <v>0</v>
      </c>
      <c r="W29" t="s">
        <v>195</v>
      </c>
      <c r="X29" t="s">
        <v>196</v>
      </c>
      <c r="Y29" t="s">
        <v>195</v>
      </c>
      <c r="Z29">
        <v>0</v>
      </c>
      <c r="AA29">
        <v>0</v>
      </c>
      <c r="AB29">
        <v>0</v>
      </c>
      <c r="AC29" t="b">
        <v>0</v>
      </c>
      <c r="AD29" t="s">
        <v>195</v>
      </c>
      <c r="AE29" t="s">
        <v>203</v>
      </c>
      <c r="AF29" t="s">
        <v>195</v>
      </c>
      <c r="AG29" t="s">
        <v>195</v>
      </c>
      <c r="AH29">
        <v>516</v>
      </c>
      <c r="AI29">
        <v>0</v>
      </c>
      <c r="AJ29">
        <v>10</v>
      </c>
      <c r="AK29">
        <v>10</v>
      </c>
      <c r="AL29">
        <v>506</v>
      </c>
      <c r="AM29" t="b">
        <v>1</v>
      </c>
      <c r="AN29">
        <v>34</v>
      </c>
      <c r="AO29" t="s">
        <v>181</v>
      </c>
    </row>
    <row r="30" spans="2:41" x14ac:dyDescent="0.3">
      <c r="B30">
        <v>20</v>
      </c>
      <c r="C30" t="s">
        <v>280</v>
      </c>
      <c r="D30" s="8">
        <v>0.94216435185185188</v>
      </c>
      <c r="E30" t="s">
        <v>3</v>
      </c>
      <c r="F30" t="s">
        <v>52</v>
      </c>
      <c r="G30">
        <v>4809</v>
      </c>
      <c r="H30" t="s">
        <v>281</v>
      </c>
      <c r="I30" t="s">
        <v>184</v>
      </c>
      <c r="J30">
        <v>37</v>
      </c>
      <c r="K30" t="s">
        <v>282</v>
      </c>
      <c r="L30" t="s">
        <v>185</v>
      </c>
      <c r="M30">
        <v>93</v>
      </c>
      <c r="N30" t="s">
        <v>283</v>
      </c>
      <c r="O30" t="s">
        <v>284</v>
      </c>
      <c r="P30" t="s">
        <v>201</v>
      </c>
      <c r="Q30">
        <v>88</v>
      </c>
      <c r="R30">
        <v>11</v>
      </c>
      <c r="S30" t="s">
        <v>3</v>
      </c>
      <c r="T30" t="s">
        <v>174</v>
      </c>
      <c r="U30">
        <v>560001</v>
      </c>
      <c r="V30" t="b">
        <v>0</v>
      </c>
      <c r="W30" t="s">
        <v>195</v>
      </c>
      <c r="X30" t="s">
        <v>196</v>
      </c>
      <c r="Y30" t="s">
        <v>195</v>
      </c>
      <c r="Z30">
        <v>0</v>
      </c>
      <c r="AA30">
        <v>0</v>
      </c>
      <c r="AB30">
        <v>0</v>
      </c>
      <c r="AC30" t="b">
        <v>0</v>
      </c>
      <c r="AD30" t="s">
        <v>195</v>
      </c>
      <c r="AE30" t="s">
        <v>203</v>
      </c>
      <c r="AF30" t="s">
        <v>195</v>
      </c>
      <c r="AG30" t="s">
        <v>195</v>
      </c>
      <c r="AH30">
        <v>176</v>
      </c>
      <c r="AI30">
        <v>0</v>
      </c>
      <c r="AJ30">
        <v>10</v>
      </c>
      <c r="AK30">
        <v>10</v>
      </c>
      <c r="AL30">
        <v>166</v>
      </c>
      <c r="AM30" t="b">
        <v>1</v>
      </c>
      <c r="AN30">
        <v>33</v>
      </c>
      <c r="AO30" t="s">
        <v>181</v>
      </c>
    </row>
    <row r="31" spans="2:41" x14ac:dyDescent="0.3">
      <c r="B31">
        <v>21</v>
      </c>
      <c r="C31" t="s">
        <v>285</v>
      </c>
      <c r="D31" s="8">
        <v>2.7083333333333334E-2</v>
      </c>
      <c r="E31" t="s">
        <v>3</v>
      </c>
      <c r="F31" t="s">
        <v>51</v>
      </c>
      <c r="G31">
        <v>5227</v>
      </c>
      <c r="H31" t="s">
        <v>286</v>
      </c>
      <c r="I31" t="s">
        <v>168</v>
      </c>
      <c r="J31">
        <v>36</v>
      </c>
      <c r="K31" t="s">
        <v>287</v>
      </c>
      <c r="L31" t="s">
        <v>195</v>
      </c>
      <c r="M31">
        <v>106</v>
      </c>
      <c r="N31" t="s">
        <v>288</v>
      </c>
      <c r="O31" t="s">
        <v>289</v>
      </c>
      <c r="P31" t="s">
        <v>253</v>
      </c>
      <c r="Q31">
        <v>138</v>
      </c>
      <c r="R31">
        <v>13</v>
      </c>
      <c r="S31" t="s">
        <v>3</v>
      </c>
      <c r="T31" t="s">
        <v>174</v>
      </c>
      <c r="U31">
        <v>560003</v>
      </c>
      <c r="V31" t="b">
        <v>0</v>
      </c>
      <c r="W31" t="s">
        <v>195</v>
      </c>
      <c r="X31" t="s">
        <v>196</v>
      </c>
      <c r="Y31" t="s">
        <v>195</v>
      </c>
      <c r="Z31">
        <v>0</v>
      </c>
      <c r="AA31">
        <v>0</v>
      </c>
      <c r="AB31">
        <v>0</v>
      </c>
      <c r="AC31" t="b">
        <v>0</v>
      </c>
      <c r="AD31" t="s">
        <v>195</v>
      </c>
      <c r="AE31" t="s">
        <v>203</v>
      </c>
      <c r="AF31" t="s">
        <v>195</v>
      </c>
      <c r="AG31" t="s">
        <v>195</v>
      </c>
      <c r="AH31">
        <v>276</v>
      </c>
      <c r="AI31">
        <v>0</v>
      </c>
      <c r="AJ31">
        <v>0</v>
      </c>
      <c r="AK31">
        <v>0</v>
      </c>
      <c r="AL31">
        <v>276</v>
      </c>
      <c r="AM31" t="b">
        <v>1</v>
      </c>
      <c r="AN31">
        <v>21</v>
      </c>
      <c r="AO31" t="s">
        <v>181</v>
      </c>
    </row>
    <row r="32" spans="2:41" x14ac:dyDescent="0.3">
      <c r="B32">
        <v>22</v>
      </c>
      <c r="C32" t="s">
        <v>290</v>
      </c>
      <c r="D32" s="8">
        <v>0.81627314814814811</v>
      </c>
      <c r="E32" t="s">
        <v>3</v>
      </c>
      <c r="F32" t="s">
        <v>52</v>
      </c>
      <c r="G32">
        <v>4394</v>
      </c>
      <c r="H32" t="s">
        <v>291</v>
      </c>
      <c r="I32" t="s">
        <v>184</v>
      </c>
      <c r="J32">
        <v>35</v>
      </c>
      <c r="K32" t="s">
        <v>292</v>
      </c>
      <c r="L32" t="s">
        <v>170</v>
      </c>
      <c r="M32">
        <v>108</v>
      </c>
      <c r="N32" t="s">
        <v>293</v>
      </c>
      <c r="O32" t="s">
        <v>294</v>
      </c>
      <c r="P32" t="s">
        <v>201</v>
      </c>
      <c r="Q32">
        <v>198</v>
      </c>
      <c r="R32">
        <v>13</v>
      </c>
      <c r="S32" t="s">
        <v>3</v>
      </c>
      <c r="T32" t="s">
        <v>174</v>
      </c>
      <c r="U32">
        <v>560003</v>
      </c>
      <c r="V32" t="b">
        <v>0</v>
      </c>
      <c r="W32" t="s">
        <v>195</v>
      </c>
      <c r="X32" t="s">
        <v>196</v>
      </c>
      <c r="Y32" t="s">
        <v>195</v>
      </c>
      <c r="Z32">
        <v>0</v>
      </c>
      <c r="AA32">
        <v>0</v>
      </c>
      <c r="AB32">
        <v>0</v>
      </c>
      <c r="AC32" t="b">
        <v>0</v>
      </c>
      <c r="AD32" t="s">
        <v>195</v>
      </c>
      <c r="AE32" t="s">
        <v>203</v>
      </c>
      <c r="AF32" t="s">
        <v>195</v>
      </c>
      <c r="AG32" t="s">
        <v>195</v>
      </c>
      <c r="AH32">
        <v>396</v>
      </c>
      <c r="AI32">
        <v>0</v>
      </c>
      <c r="AJ32">
        <v>25</v>
      </c>
      <c r="AK32">
        <v>25</v>
      </c>
      <c r="AL32">
        <v>371</v>
      </c>
      <c r="AM32" t="b">
        <v>1</v>
      </c>
      <c r="AN32">
        <v>41</v>
      </c>
      <c r="AO32" t="s">
        <v>181</v>
      </c>
    </row>
    <row r="33" spans="2:41" x14ac:dyDescent="0.3">
      <c r="B33">
        <v>23</v>
      </c>
      <c r="C33" t="s">
        <v>295</v>
      </c>
      <c r="D33" s="8">
        <v>0.93532407407407403</v>
      </c>
      <c r="E33" t="s">
        <v>2</v>
      </c>
      <c r="F33" t="s">
        <v>52</v>
      </c>
      <c r="G33">
        <v>2866</v>
      </c>
      <c r="H33" t="s">
        <v>296</v>
      </c>
      <c r="I33" t="s">
        <v>168</v>
      </c>
      <c r="J33">
        <v>37</v>
      </c>
      <c r="K33" t="s">
        <v>297</v>
      </c>
      <c r="L33" t="s">
        <v>195</v>
      </c>
      <c r="M33">
        <v>13</v>
      </c>
      <c r="N33" t="s">
        <v>226</v>
      </c>
      <c r="O33" t="s">
        <v>240</v>
      </c>
      <c r="P33" t="s">
        <v>241</v>
      </c>
      <c r="Q33">
        <v>131</v>
      </c>
      <c r="R33">
        <v>8</v>
      </c>
      <c r="S33" t="s">
        <v>2</v>
      </c>
      <c r="T33" t="s">
        <v>202</v>
      </c>
      <c r="U33">
        <v>500034</v>
      </c>
      <c r="V33" t="b">
        <v>0</v>
      </c>
      <c r="W33" t="s">
        <v>195</v>
      </c>
      <c r="X33" t="s">
        <v>196</v>
      </c>
      <c r="Y33" t="s">
        <v>195</v>
      </c>
      <c r="Z33">
        <v>0</v>
      </c>
      <c r="AA33">
        <v>0</v>
      </c>
      <c r="AB33">
        <v>0</v>
      </c>
      <c r="AC33" t="b">
        <v>0</v>
      </c>
      <c r="AD33" t="s">
        <v>195</v>
      </c>
      <c r="AE33" t="s">
        <v>203</v>
      </c>
      <c r="AF33" t="s">
        <v>195</v>
      </c>
      <c r="AG33" t="s">
        <v>195</v>
      </c>
      <c r="AH33">
        <v>393</v>
      </c>
      <c r="AI33">
        <v>0</v>
      </c>
      <c r="AJ33">
        <v>0</v>
      </c>
      <c r="AK33">
        <v>0</v>
      </c>
      <c r="AL33">
        <v>393</v>
      </c>
      <c r="AM33" t="b">
        <v>1</v>
      </c>
      <c r="AN33">
        <v>22</v>
      </c>
      <c r="AO33" t="s">
        <v>181</v>
      </c>
    </row>
    <row r="34" spans="2:41" x14ac:dyDescent="0.3">
      <c r="B34">
        <v>24</v>
      </c>
      <c r="C34" t="s">
        <v>197</v>
      </c>
      <c r="D34" s="8">
        <v>0.5465740740740741</v>
      </c>
      <c r="E34" t="s">
        <v>3</v>
      </c>
      <c r="F34" t="s">
        <v>51</v>
      </c>
      <c r="G34">
        <v>3714</v>
      </c>
      <c r="H34" t="s">
        <v>298</v>
      </c>
      <c r="I34" t="s">
        <v>168</v>
      </c>
      <c r="J34">
        <v>29</v>
      </c>
      <c r="K34" t="s">
        <v>299</v>
      </c>
      <c r="L34" t="s">
        <v>195</v>
      </c>
      <c r="M34">
        <v>68</v>
      </c>
      <c r="N34" t="s">
        <v>186</v>
      </c>
      <c r="O34" t="s">
        <v>244</v>
      </c>
      <c r="P34" t="s">
        <v>300</v>
      </c>
      <c r="Q34">
        <v>305</v>
      </c>
      <c r="R34">
        <v>15</v>
      </c>
      <c r="S34" t="s">
        <v>3</v>
      </c>
      <c r="T34" t="s">
        <v>174</v>
      </c>
      <c r="U34">
        <v>560016</v>
      </c>
      <c r="V34" t="b">
        <v>0</v>
      </c>
      <c r="W34" t="s">
        <v>195</v>
      </c>
      <c r="X34" t="s">
        <v>196</v>
      </c>
      <c r="Y34" t="s">
        <v>195</v>
      </c>
      <c r="Z34">
        <v>0</v>
      </c>
      <c r="AA34">
        <v>0</v>
      </c>
      <c r="AB34">
        <v>0</v>
      </c>
      <c r="AC34" t="b">
        <v>0</v>
      </c>
      <c r="AD34" t="s">
        <v>195</v>
      </c>
      <c r="AE34" t="s">
        <v>203</v>
      </c>
      <c r="AF34" t="s">
        <v>195</v>
      </c>
      <c r="AG34" t="s">
        <v>195</v>
      </c>
      <c r="AH34">
        <v>610</v>
      </c>
      <c r="AI34">
        <v>0</v>
      </c>
      <c r="AJ34">
        <v>0</v>
      </c>
      <c r="AK34">
        <v>0</v>
      </c>
      <c r="AL34">
        <v>610</v>
      </c>
      <c r="AM34" t="b">
        <v>1</v>
      </c>
      <c r="AN34">
        <v>38</v>
      </c>
      <c r="AO34" t="s">
        <v>181</v>
      </c>
    </row>
    <row r="35" spans="2:41" x14ac:dyDescent="0.3">
      <c r="B35">
        <v>25</v>
      </c>
      <c r="C35" t="s">
        <v>299</v>
      </c>
      <c r="D35" s="8">
        <v>0.44387731481481479</v>
      </c>
      <c r="E35" t="s">
        <v>2</v>
      </c>
      <c r="F35" t="s">
        <v>52</v>
      </c>
      <c r="G35">
        <v>2608</v>
      </c>
      <c r="H35" t="s">
        <v>301</v>
      </c>
      <c r="I35" t="s">
        <v>168</v>
      </c>
      <c r="J35">
        <v>28</v>
      </c>
      <c r="K35" t="s">
        <v>302</v>
      </c>
      <c r="L35" t="s">
        <v>185</v>
      </c>
      <c r="M35">
        <v>8</v>
      </c>
      <c r="N35" t="s">
        <v>226</v>
      </c>
      <c r="O35" t="s">
        <v>303</v>
      </c>
      <c r="P35" t="s">
        <v>173</v>
      </c>
      <c r="Q35">
        <v>295</v>
      </c>
      <c r="R35">
        <v>1</v>
      </c>
      <c r="S35" t="s">
        <v>2</v>
      </c>
      <c r="T35" t="s">
        <v>202</v>
      </c>
      <c r="U35">
        <v>500001</v>
      </c>
      <c r="V35" t="b">
        <v>1</v>
      </c>
      <c r="W35" t="s">
        <v>304</v>
      </c>
      <c r="X35" t="s">
        <v>305</v>
      </c>
      <c r="Y35" t="s">
        <v>231</v>
      </c>
      <c r="Z35">
        <v>40</v>
      </c>
      <c r="AA35">
        <v>40</v>
      </c>
      <c r="AB35">
        <v>149</v>
      </c>
      <c r="AC35" t="b">
        <v>0</v>
      </c>
      <c r="AD35" t="s">
        <v>195</v>
      </c>
      <c r="AE35" t="s">
        <v>203</v>
      </c>
      <c r="AF35" t="s">
        <v>195</v>
      </c>
      <c r="AG35" t="s">
        <v>195</v>
      </c>
      <c r="AH35">
        <v>295</v>
      </c>
      <c r="AI35">
        <v>40</v>
      </c>
      <c r="AJ35">
        <v>10</v>
      </c>
      <c r="AK35">
        <v>50</v>
      </c>
      <c r="AL35">
        <v>245</v>
      </c>
      <c r="AM35" t="b">
        <v>0</v>
      </c>
      <c r="AN35">
        <v>64</v>
      </c>
      <c r="AO35">
        <v>1.4</v>
      </c>
    </row>
    <row r="36" spans="2:41" x14ac:dyDescent="0.3">
      <c r="B36">
        <v>26</v>
      </c>
      <c r="C36" t="s">
        <v>248</v>
      </c>
      <c r="D36" s="8">
        <v>4.7615740740740743E-2</v>
      </c>
      <c r="E36" t="s">
        <v>2</v>
      </c>
      <c r="F36" t="s">
        <v>52</v>
      </c>
      <c r="G36">
        <v>424</v>
      </c>
      <c r="H36" t="s">
        <v>306</v>
      </c>
      <c r="I36" t="s">
        <v>168</v>
      </c>
      <c r="J36">
        <v>32</v>
      </c>
      <c r="K36" t="s">
        <v>307</v>
      </c>
      <c r="L36" t="s">
        <v>185</v>
      </c>
      <c r="M36">
        <v>23</v>
      </c>
      <c r="N36" t="s">
        <v>308</v>
      </c>
      <c r="O36" t="s">
        <v>309</v>
      </c>
      <c r="P36" t="s">
        <v>173</v>
      </c>
      <c r="Q36">
        <v>263</v>
      </c>
      <c r="R36">
        <v>1</v>
      </c>
      <c r="S36" t="s">
        <v>2</v>
      </c>
      <c r="T36" t="s">
        <v>202</v>
      </c>
      <c r="U36">
        <v>500001</v>
      </c>
      <c r="V36" t="b">
        <v>0</v>
      </c>
      <c r="W36" t="s">
        <v>195</v>
      </c>
      <c r="X36" t="s">
        <v>196</v>
      </c>
      <c r="Y36" t="s">
        <v>195</v>
      </c>
      <c r="Z36">
        <v>0</v>
      </c>
      <c r="AA36">
        <v>0</v>
      </c>
      <c r="AB36">
        <v>0</v>
      </c>
      <c r="AC36" t="b">
        <v>0</v>
      </c>
      <c r="AD36" t="s">
        <v>195</v>
      </c>
      <c r="AE36" t="s">
        <v>203</v>
      </c>
      <c r="AF36" t="s">
        <v>195</v>
      </c>
      <c r="AG36" t="s">
        <v>195</v>
      </c>
      <c r="AH36">
        <v>789</v>
      </c>
      <c r="AI36">
        <v>0</v>
      </c>
      <c r="AJ36">
        <v>10</v>
      </c>
      <c r="AK36">
        <v>10</v>
      </c>
      <c r="AL36">
        <v>779</v>
      </c>
      <c r="AM36" t="b">
        <v>1</v>
      </c>
      <c r="AN36">
        <v>31</v>
      </c>
      <c r="AO36" t="s">
        <v>181</v>
      </c>
    </row>
    <row r="37" spans="2:41" x14ac:dyDescent="0.3">
      <c r="B37">
        <v>27</v>
      </c>
      <c r="C37" t="s">
        <v>282</v>
      </c>
      <c r="D37" s="8">
        <v>7.1759259259259259E-3</v>
      </c>
      <c r="E37" t="s">
        <v>3</v>
      </c>
      <c r="F37" t="s">
        <v>52</v>
      </c>
      <c r="G37">
        <v>3451</v>
      </c>
      <c r="H37" t="s">
        <v>310</v>
      </c>
      <c r="I37" t="s">
        <v>168</v>
      </c>
      <c r="J37">
        <v>32</v>
      </c>
      <c r="K37" t="s">
        <v>311</v>
      </c>
      <c r="L37" t="s">
        <v>170</v>
      </c>
      <c r="M37">
        <v>114</v>
      </c>
      <c r="N37" t="s">
        <v>217</v>
      </c>
      <c r="O37" t="s">
        <v>312</v>
      </c>
      <c r="P37" t="s">
        <v>253</v>
      </c>
      <c r="Q37">
        <v>301</v>
      </c>
      <c r="R37">
        <v>14</v>
      </c>
      <c r="S37" t="s">
        <v>3</v>
      </c>
      <c r="T37" t="s">
        <v>174</v>
      </c>
      <c r="U37">
        <v>560004</v>
      </c>
      <c r="V37" t="b">
        <v>0</v>
      </c>
      <c r="W37" t="s">
        <v>195</v>
      </c>
      <c r="X37" t="s">
        <v>196</v>
      </c>
      <c r="Y37" t="s">
        <v>195</v>
      </c>
      <c r="Z37">
        <v>0</v>
      </c>
      <c r="AA37">
        <v>0</v>
      </c>
      <c r="AB37">
        <v>0</v>
      </c>
      <c r="AC37" t="b">
        <v>0</v>
      </c>
      <c r="AD37" t="s">
        <v>195</v>
      </c>
      <c r="AE37" t="s">
        <v>203</v>
      </c>
      <c r="AF37" t="s">
        <v>195</v>
      </c>
      <c r="AG37" t="s">
        <v>195</v>
      </c>
      <c r="AH37">
        <v>301</v>
      </c>
      <c r="AI37">
        <v>0</v>
      </c>
      <c r="AJ37">
        <v>25</v>
      </c>
      <c r="AK37">
        <v>25</v>
      </c>
      <c r="AL37">
        <v>276</v>
      </c>
      <c r="AM37" t="b">
        <v>1</v>
      </c>
      <c r="AN37">
        <v>33</v>
      </c>
      <c r="AO37" t="s">
        <v>181</v>
      </c>
    </row>
    <row r="38" spans="2:41" x14ac:dyDescent="0.3">
      <c r="B38">
        <v>28</v>
      </c>
      <c r="C38" t="s">
        <v>313</v>
      </c>
      <c r="D38" s="8">
        <v>0.24237268518518518</v>
      </c>
      <c r="E38" t="s">
        <v>3</v>
      </c>
      <c r="F38" t="s">
        <v>52</v>
      </c>
      <c r="G38">
        <v>4253</v>
      </c>
      <c r="H38" t="s">
        <v>314</v>
      </c>
      <c r="I38" t="s">
        <v>168</v>
      </c>
      <c r="J38">
        <v>19</v>
      </c>
      <c r="K38" t="s">
        <v>315</v>
      </c>
      <c r="L38" t="s">
        <v>195</v>
      </c>
      <c r="M38">
        <v>98</v>
      </c>
      <c r="N38" t="s">
        <v>171</v>
      </c>
      <c r="O38" t="s">
        <v>235</v>
      </c>
      <c r="P38" t="s">
        <v>213</v>
      </c>
      <c r="Q38">
        <v>132</v>
      </c>
      <c r="R38">
        <v>13</v>
      </c>
      <c r="S38" t="s">
        <v>3</v>
      </c>
      <c r="T38" t="s">
        <v>174</v>
      </c>
      <c r="U38">
        <v>560003</v>
      </c>
      <c r="V38" t="b">
        <v>1</v>
      </c>
      <c r="W38" t="s">
        <v>304</v>
      </c>
      <c r="X38" t="s">
        <v>305</v>
      </c>
      <c r="Y38" t="s">
        <v>231</v>
      </c>
      <c r="Z38">
        <v>40</v>
      </c>
      <c r="AA38">
        <v>40</v>
      </c>
      <c r="AB38">
        <v>149</v>
      </c>
      <c r="AC38" t="b">
        <v>0</v>
      </c>
      <c r="AD38" t="s">
        <v>195</v>
      </c>
      <c r="AE38" t="s">
        <v>203</v>
      </c>
      <c r="AF38" t="s">
        <v>195</v>
      </c>
      <c r="AG38" t="s">
        <v>195</v>
      </c>
      <c r="AH38">
        <v>132</v>
      </c>
      <c r="AI38">
        <v>0</v>
      </c>
      <c r="AJ38">
        <v>0</v>
      </c>
      <c r="AK38">
        <v>0</v>
      </c>
      <c r="AL38">
        <v>132</v>
      </c>
      <c r="AM38" t="b">
        <v>1</v>
      </c>
      <c r="AN38">
        <v>34</v>
      </c>
      <c r="AO38" t="s">
        <v>181</v>
      </c>
    </row>
    <row r="39" spans="2:41" x14ac:dyDescent="0.3">
      <c r="B39">
        <v>29</v>
      </c>
      <c r="C39" t="s">
        <v>316</v>
      </c>
      <c r="D39" s="8">
        <v>7.9942129629629627E-2</v>
      </c>
      <c r="E39" t="s">
        <v>3</v>
      </c>
      <c r="F39" t="s">
        <v>51</v>
      </c>
      <c r="G39">
        <v>3651</v>
      </c>
      <c r="H39" t="s">
        <v>317</v>
      </c>
      <c r="I39" t="s">
        <v>184</v>
      </c>
      <c r="J39">
        <v>38</v>
      </c>
      <c r="K39" t="s">
        <v>318</v>
      </c>
      <c r="L39" t="s">
        <v>195</v>
      </c>
      <c r="M39">
        <v>69</v>
      </c>
      <c r="N39" t="s">
        <v>186</v>
      </c>
      <c r="O39" t="s">
        <v>187</v>
      </c>
      <c r="P39" t="s">
        <v>173</v>
      </c>
      <c r="Q39">
        <v>276</v>
      </c>
      <c r="R39">
        <v>16</v>
      </c>
      <c r="S39" t="s">
        <v>3</v>
      </c>
      <c r="T39" t="s">
        <v>174</v>
      </c>
      <c r="U39">
        <v>560034</v>
      </c>
      <c r="V39" t="b">
        <v>0</v>
      </c>
      <c r="W39" t="s">
        <v>195</v>
      </c>
      <c r="X39" t="s">
        <v>196</v>
      </c>
      <c r="Y39" t="s">
        <v>195</v>
      </c>
      <c r="Z39">
        <v>0</v>
      </c>
      <c r="AA39">
        <v>0</v>
      </c>
      <c r="AB39">
        <v>0</v>
      </c>
      <c r="AC39" t="b">
        <v>1</v>
      </c>
      <c r="AD39" t="s">
        <v>120</v>
      </c>
      <c r="AE39" t="s">
        <v>275</v>
      </c>
      <c r="AF39" t="s">
        <v>276</v>
      </c>
      <c r="AG39" t="s">
        <v>277</v>
      </c>
      <c r="AH39">
        <v>276</v>
      </c>
      <c r="AI39">
        <v>0</v>
      </c>
      <c r="AJ39">
        <v>0</v>
      </c>
      <c r="AK39">
        <v>0</v>
      </c>
      <c r="AL39">
        <v>276</v>
      </c>
      <c r="AM39" t="b">
        <v>1</v>
      </c>
      <c r="AN39">
        <v>44</v>
      </c>
      <c r="AO39" t="s">
        <v>181</v>
      </c>
    </row>
    <row r="40" spans="2:41" x14ac:dyDescent="0.3">
      <c r="B40">
        <v>30</v>
      </c>
      <c r="C40" t="s">
        <v>319</v>
      </c>
      <c r="D40" s="8">
        <v>0.63177083333333328</v>
      </c>
      <c r="E40" t="s">
        <v>2</v>
      </c>
      <c r="F40" t="s">
        <v>52</v>
      </c>
      <c r="G40">
        <v>1761</v>
      </c>
      <c r="H40" t="s">
        <v>320</v>
      </c>
      <c r="I40" t="s">
        <v>168</v>
      </c>
      <c r="J40">
        <v>35</v>
      </c>
      <c r="K40" t="s">
        <v>321</v>
      </c>
      <c r="L40" t="s">
        <v>170</v>
      </c>
      <c r="M40">
        <v>39</v>
      </c>
      <c r="N40" t="s">
        <v>234</v>
      </c>
      <c r="O40" t="s">
        <v>244</v>
      </c>
      <c r="P40" t="s">
        <v>219</v>
      </c>
      <c r="Q40">
        <v>200</v>
      </c>
      <c r="R40">
        <v>7</v>
      </c>
      <c r="S40" t="s">
        <v>2</v>
      </c>
      <c r="T40" t="s">
        <v>202</v>
      </c>
      <c r="U40">
        <v>500032</v>
      </c>
      <c r="V40" t="b">
        <v>1</v>
      </c>
      <c r="W40" t="s">
        <v>175</v>
      </c>
      <c r="X40" t="s">
        <v>176</v>
      </c>
      <c r="Y40" t="s">
        <v>177</v>
      </c>
      <c r="Z40">
        <v>20</v>
      </c>
      <c r="AA40">
        <v>100</v>
      </c>
      <c r="AB40">
        <v>299</v>
      </c>
      <c r="AC40" t="b">
        <v>0</v>
      </c>
      <c r="AD40" t="s">
        <v>195</v>
      </c>
      <c r="AE40" t="s">
        <v>203</v>
      </c>
      <c r="AF40" t="s">
        <v>195</v>
      </c>
      <c r="AG40" t="s">
        <v>195</v>
      </c>
      <c r="AH40">
        <v>600</v>
      </c>
      <c r="AI40">
        <v>100</v>
      </c>
      <c r="AJ40">
        <v>25</v>
      </c>
      <c r="AK40">
        <v>125</v>
      </c>
      <c r="AL40">
        <v>475</v>
      </c>
      <c r="AM40" t="b">
        <v>1</v>
      </c>
      <c r="AN40">
        <v>41</v>
      </c>
      <c r="AO40" t="s">
        <v>181</v>
      </c>
    </row>
    <row r="41" spans="2:41" x14ac:dyDescent="0.3">
      <c r="B41">
        <v>31</v>
      </c>
      <c r="C41" t="s">
        <v>322</v>
      </c>
      <c r="D41" s="8">
        <v>0.28864583333333332</v>
      </c>
      <c r="E41" t="s">
        <v>3</v>
      </c>
      <c r="F41" t="s">
        <v>52</v>
      </c>
      <c r="G41">
        <v>5827</v>
      </c>
      <c r="H41" t="s">
        <v>323</v>
      </c>
      <c r="I41" t="s">
        <v>168</v>
      </c>
      <c r="J41">
        <v>23</v>
      </c>
      <c r="K41" t="s">
        <v>324</v>
      </c>
      <c r="L41" t="s">
        <v>195</v>
      </c>
      <c r="M41">
        <v>61</v>
      </c>
      <c r="N41" t="s">
        <v>260</v>
      </c>
      <c r="O41" t="s">
        <v>261</v>
      </c>
      <c r="P41" t="s">
        <v>173</v>
      </c>
      <c r="Q41">
        <v>98</v>
      </c>
      <c r="R41">
        <v>14</v>
      </c>
      <c r="S41" t="s">
        <v>3</v>
      </c>
      <c r="T41" t="s">
        <v>174</v>
      </c>
      <c r="U41">
        <v>560004</v>
      </c>
      <c r="V41" t="b">
        <v>0</v>
      </c>
      <c r="W41" t="s">
        <v>195</v>
      </c>
      <c r="X41" t="s">
        <v>196</v>
      </c>
      <c r="Y41" t="s">
        <v>195</v>
      </c>
      <c r="Z41">
        <v>0</v>
      </c>
      <c r="AA41">
        <v>0</v>
      </c>
      <c r="AB41">
        <v>0</v>
      </c>
      <c r="AC41" t="b">
        <v>0</v>
      </c>
      <c r="AD41" t="s">
        <v>195</v>
      </c>
      <c r="AE41" t="s">
        <v>203</v>
      </c>
      <c r="AF41" t="s">
        <v>195</v>
      </c>
      <c r="AG41" t="s">
        <v>195</v>
      </c>
      <c r="AH41">
        <v>196</v>
      </c>
      <c r="AI41">
        <v>0</v>
      </c>
      <c r="AJ41">
        <v>0</v>
      </c>
      <c r="AK41">
        <v>0</v>
      </c>
      <c r="AL41">
        <v>196</v>
      </c>
      <c r="AM41" t="b">
        <v>1</v>
      </c>
      <c r="AN41">
        <v>27</v>
      </c>
      <c r="AO41" t="s">
        <v>181</v>
      </c>
    </row>
    <row r="42" spans="2:41" x14ac:dyDescent="0.3">
      <c r="B42">
        <v>32</v>
      </c>
      <c r="C42" t="s">
        <v>75</v>
      </c>
      <c r="D42" s="8">
        <v>9.6423611111111113E-2</v>
      </c>
      <c r="E42" t="s">
        <v>2</v>
      </c>
      <c r="F42" t="s">
        <v>52</v>
      </c>
      <c r="G42">
        <v>1976</v>
      </c>
      <c r="H42" t="s">
        <v>325</v>
      </c>
      <c r="I42" t="s">
        <v>168</v>
      </c>
      <c r="J42">
        <v>38</v>
      </c>
      <c r="K42" t="s">
        <v>326</v>
      </c>
      <c r="L42" t="s">
        <v>195</v>
      </c>
      <c r="M42">
        <v>36</v>
      </c>
      <c r="N42" t="s">
        <v>327</v>
      </c>
      <c r="O42" t="s">
        <v>328</v>
      </c>
      <c r="P42" t="s">
        <v>219</v>
      </c>
      <c r="Q42">
        <v>65</v>
      </c>
      <c r="R42">
        <v>2</v>
      </c>
      <c r="S42" t="s">
        <v>2</v>
      </c>
      <c r="T42" t="s">
        <v>202</v>
      </c>
      <c r="U42">
        <v>500002</v>
      </c>
      <c r="V42" t="b">
        <v>0</v>
      </c>
      <c r="W42" t="s">
        <v>195</v>
      </c>
      <c r="X42" t="s">
        <v>196</v>
      </c>
      <c r="Y42" t="s">
        <v>195</v>
      </c>
      <c r="Z42">
        <v>0</v>
      </c>
      <c r="AA42">
        <v>0</v>
      </c>
      <c r="AB42">
        <v>0</v>
      </c>
      <c r="AC42" t="b">
        <v>0</v>
      </c>
      <c r="AD42" t="s">
        <v>195</v>
      </c>
      <c r="AE42" t="s">
        <v>203</v>
      </c>
      <c r="AF42" t="s">
        <v>195</v>
      </c>
      <c r="AG42" t="s">
        <v>195</v>
      </c>
      <c r="AH42">
        <v>130</v>
      </c>
      <c r="AI42">
        <v>0</v>
      </c>
      <c r="AJ42">
        <v>0</v>
      </c>
      <c r="AK42">
        <v>0</v>
      </c>
      <c r="AL42">
        <v>130</v>
      </c>
      <c r="AM42" t="b">
        <v>1</v>
      </c>
      <c r="AN42">
        <v>43</v>
      </c>
      <c r="AO42" t="s">
        <v>181</v>
      </c>
    </row>
    <row r="43" spans="2:41" x14ac:dyDescent="0.3">
      <c r="B43">
        <v>33</v>
      </c>
      <c r="C43" t="s">
        <v>329</v>
      </c>
      <c r="D43" s="8">
        <v>0.67991898148148144</v>
      </c>
      <c r="E43" t="s">
        <v>2</v>
      </c>
      <c r="F43" t="s">
        <v>52</v>
      </c>
      <c r="G43">
        <v>2569</v>
      </c>
      <c r="H43" t="s">
        <v>330</v>
      </c>
      <c r="I43" t="s">
        <v>168</v>
      </c>
      <c r="J43">
        <v>40</v>
      </c>
      <c r="K43" t="s">
        <v>331</v>
      </c>
      <c r="L43" t="s">
        <v>195</v>
      </c>
      <c r="M43">
        <v>21</v>
      </c>
      <c r="N43" t="s">
        <v>308</v>
      </c>
      <c r="O43" t="s">
        <v>332</v>
      </c>
      <c r="P43" t="s">
        <v>228</v>
      </c>
      <c r="Q43">
        <v>186</v>
      </c>
      <c r="R43">
        <v>8</v>
      </c>
      <c r="S43" t="s">
        <v>2</v>
      </c>
      <c r="T43" t="s">
        <v>202</v>
      </c>
      <c r="U43">
        <v>500034</v>
      </c>
      <c r="V43" t="b">
        <v>0</v>
      </c>
      <c r="W43" t="s">
        <v>195</v>
      </c>
      <c r="X43" t="s">
        <v>196</v>
      </c>
      <c r="Y43" t="s">
        <v>195</v>
      </c>
      <c r="Z43">
        <v>0</v>
      </c>
      <c r="AA43">
        <v>0</v>
      </c>
      <c r="AB43">
        <v>0</v>
      </c>
      <c r="AC43" t="b">
        <v>1</v>
      </c>
      <c r="AD43" t="s">
        <v>120</v>
      </c>
      <c r="AE43" t="s">
        <v>275</v>
      </c>
      <c r="AF43" t="s">
        <v>276</v>
      </c>
      <c r="AG43" t="s">
        <v>277</v>
      </c>
      <c r="AH43">
        <v>186</v>
      </c>
      <c r="AI43">
        <v>0</v>
      </c>
      <c r="AJ43">
        <v>0</v>
      </c>
      <c r="AK43">
        <v>0</v>
      </c>
      <c r="AL43">
        <v>186</v>
      </c>
      <c r="AM43" t="b">
        <v>1</v>
      </c>
      <c r="AN43">
        <v>28</v>
      </c>
      <c r="AO43" t="s">
        <v>181</v>
      </c>
    </row>
    <row r="44" spans="2:41" x14ac:dyDescent="0.3">
      <c r="B44">
        <v>34</v>
      </c>
      <c r="C44" t="s">
        <v>333</v>
      </c>
      <c r="D44" s="8">
        <v>1.6620370370370369E-2</v>
      </c>
      <c r="E44" t="s">
        <v>3</v>
      </c>
      <c r="F44" t="s">
        <v>52</v>
      </c>
      <c r="G44">
        <v>5405</v>
      </c>
      <c r="H44" t="s">
        <v>334</v>
      </c>
      <c r="I44" t="s">
        <v>168</v>
      </c>
      <c r="J44">
        <v>49</v>
      </c>
      <c r="K44" t="s">
        <v>335</v>
      </c>
      <c r="L44" t="s">
        <v>170</v>
      </c>
      <c r="M44">
        <v>87</v>
      </c>
      <c r="N44" t="s">
        <v>207</v>
      </c>
      <c r="O44" t="s">
        <v>244</v>
      </c>
      <c r="P44" t="s">
        <v>241</v>
      </c>
      <c r="Q44">
        <v>301</v>
      </c>
      <c r="R44">
        <v>14</v>
      </c>
      <c r="S44" t="s">
        <v>3</v>
      </c>
      <c r="T44" t="s">
        <v>174</v>
      </c>
      <c r="U44">
        <v>560004</v>
      </c>
      <c r="V44" t="b">
        <v>0</v>
      </c>
      <c r="W44" t="s">
        <v>195</v>
      </c>
      <c r="X44" t="s">
        <v>196</v>
      </c>
      <c r="Y44" t="s">
        <v>195</v>
      </c>
      <c r="Z44">
        <v>0</v>
      </c>
      <c r="AA44">
        <v>0</v>
      </c>
      <c r="AB44">
        <v>0</v>
      </c>
      <c r="AC44" t="b">
        <v>0</v>
      </c>
      <c r="AD44" t="s">
        <v>195</v>
      </c>
      <c r="AE44" t="s">
        <v>203</v>
      </c>
      <c r="AF44" t="s">
        <v>195</v>
      </c>
      <c r="AG44" t="s">
        <v>195</v>
      </c>
      <c r="AH44">
        <v>301</v>
      </c>
      <c r="AI44">
        <v>0</v>
      </c>
      <c r="AJ44">
        <v>25</v>
      </c>
      <c r="AK44">
        <v>25</v>
      </c>
      <c r="AL44">
        <v>276</v>
      </c>
      <c r="AM44" t="b">
        <v>1</v>
      </c>
      <c r="AN44">
        <v>20</v>
      </c>
      <c r="AO44" t="s">
        <v>181</v>
      </c>
    </row>
    <row r="45" spans="2:41" x14ac:dyDescent="0.3">
      <c r="B45">
        <v>35</v>
      </c>
      <c r="C45" t="s">
        <v>336</v>
      </c>
      <c r="D45" s="8">
        <v>0.54174768518518523</v>
      </c>
      <c r="E45" t="s">
        <v>3</v>
      </c>
      <c r="F45" t="s">
        <v>51</v>
      </c>
      <c r="G45">
        <v>5137</v>
      </c>
      <c r="H45" t="s">
        <v>337</v>
      </c>
      <c r="I45" t="s">
        <v>184</v>
      </c>
      <c r="J45">
        <v>21</v>
      </c>
      <c r="K45" t="s">
        <v>338</v>
      </c>
      <c r="L45" t="s">
        <v>225</v>
      </c>
      <c r="M45">
        <v>76</v>
      </c>
      <c r="N45" t="s">
        <v>193</v>
      </c>
      <c r="O45" t="s">
        <v>194</v>
      </c>
      <c r="P45" t="s">
        <v>173</v>
      </c>
      <c r="Q45">
        <v>157</v>
      </c>
      <c r="R45">
        <v>14</v>
      </c>
      <c r="S45" t="s">
        <v>3</v>
      </c>
      <c r="T45" t="s">
        <v>174</v>
      </c>
      <c r="U45">
        <v>560004</v>
      </c>
      <c r="V45" t="b">
        <v>0</v>
      </c>
      <c r="W45" t="s">
        <v>195</v>
      </c>
      <c r="X45" t="s">
        <v>196</v>
      </c>
      <c r="Y45" t="s">
        <v>195</v>
      </c>
      <c r="Z45">
        <v>0</v>
      </c>
      <c r="AA45">
        <v>0</v>
      </c>
      <c r="AB45">
        <v>0</v>
      </c>
      <c r="AC45" t="b">
        <v>1</v>
      </c>
      <c r="AD45" t="s">
        <v>121</v>
      </c>
      <c r="AE45" t="s">
        <v>339</v>
      </c>
      <c r="AF45" t="s">
        <v>340</v>
      </c>
      <c r="AG45" t="s">
        <v>341</v>
      </c>
      <c r="AH45">
        <v>157</v>
      </c>
      <c r="AI45">
        <v>0</v>
      </c>
      <c r="AJ45">
        <v>25</v>
      </c>
      <c r="AK45">
        <v>25</v>
      </c>
      <c r="AL45">
        <v>132</v>
      </c>
      <c r="AM45" t="b">
        <v>1</v>
      </c>
      <c r="AN45">
        <v>20</v>
      </c>
      <c r="AO45">
        <v>4.8</v>
      </c>
    </row>
    <row r="46" spans="2:41" x14ac:dyDescent="0.3">
      <c r="B46">
        <v>36</v>
      </c>
      <c r="C46" t="s">
        <v>222</v>
      </c>
      <c r="D46" s="8">
        <v>0.3666550925925926</v>
      </c>
      <c r="E46" t="s">
        <v>3</v>
      </c>
      <c r="F46" t="s">
        <v>51</v>
      </c>
      <c r="G46">
        <v>3320</v>
      </c>
      <c r="H46" t="s">
        <v>342</v>
      </c>
      <c r="I46" t="s">
        <v>184</v>
      </c>
      <c r="J46">
        <v>44</v>
      </c>
      <c r="K46" t="s">
        <v>343</v>
      </c>
      <c r="L46" t="s">
        <v>170</v>
      </c>
      <c r="M46">
        <v>87</v>
      </c>
      <c r="N46" t="s">
        <v>207</v>
      </c>
      <c r="O46" t="s">
        <v>244</v>
      </c>
      <c r="P46" t="s">
        <v>241</v>
      </c>
      <c r="Q46">
        <v>301</v>
      </c>
      <c r="R46">
        <v>18</v>
      </c>
      <c r="S46" t="s">
        <v>3</v>
      </c>
      <c r="T46" t="s">
        <v>174</v>
      </c>
      <c r="U46">
        <v>560068</v>
      </c>
      <c r="V46" t="b">
        <v>1</v>
      </c>
      <c r="W46" t="s">
        <v>304</v>
      </c>
      <c r="X46" t="s">
        <v>305</v>
      </c>
      <c r="Y46" t="s">
        <v>231</v>
      </c>
      <c r="Z46">
        <v>40</v>
      </c>
      <c r="AA46">
        <v>40</v>
      </c>
      <c r="AB46">
        <v>149</v>
      </c>
      <c r="AC46" t="b">
        <v>0</v>
      </c>
      <c r="AD46" t="s">
        <v>195</v>
      </c>
      <c r="AE46" t="s">
        <v>203</v>
      </c>
      <c r="AF46" t="s">
        <v>195</v>
      </c>
      <c r="AG46" t="s">
        <v>195</v>
      </c>
      <c r="AH46">
        <v>602</v>
      </c>
      <c r="AI46">
        <v>40</v>
      </c>
      <c r="AJ46">
        <v>25</v>
      </c>
      <c r="AK46">
        <v>65</v>
      </c>
      <c r="AL46">
        <v>537</v>
      </c>
      <c r="AM46" t="b">
        <v>1</v>
      </c>
      <c r="AN46">
        <v>13</v>
      </c>
      <c r="AO46">
        <v>4</v>
      </c>
    </row>
    <row r="47" spans="2:41" x14ac:dyDescent="0.3">
      <c r="B47">
        <v>37</v>
      </c>
      <c r="C47" t="s">
        <v>344</v>
      </c>
      <c r="D47" s="8">
        <v>0.67730324074074078</v>
      </c>
      <c r="E47" t="s">
        <v>2</v>
      </c>
      <c r="F47" t="s">
        <v>51</v>
      </c>
      <c r="G47">
        <v>605</v>
      </c>
      <c r="H47" t="s">
        <v>345</v>
      </c>
      <c r="I47" t="s">
        <v>184</v>
      </c>
      <c r="J47">
        <v>18</v>
      </c>
      <c r="K47" t="s">
        <v>346</v>
      </c>
      <c r="L47" t="s">
        <v>195</v>
      </c>
      <c r="M47">
        <v>46</v>
      </c>
      <c r="N47" t="s">
        <v>251</v>
      </c>
      <c r="O47" t="s">
        <v>252</v>
      </c>
      <c r="P47" t="s">
        <v>253</v>
      </c>
      <c r="Q47">
        <v>88</v>
      </c>
      <c r="R47">
        <v>8</v>
      </c>
      <c r="S47" t="s">
        <v>2</v>
      </c>
      <c r="T47" t="s">
        <v>202</v>
      </c>
      <c r="U47">
        <v>500034</v>
      </c>
      <c r="V47" t="b">
        <v>0</v>
      </c>
      <c r="W47" t="s">
        <v>195</v>
      </c>
      <c r="X47" t="s">
        <v>196</v>
      </c>
      <c r="Y47" t="s">
        <v>195</v>
      </c>
      <c r="Z47">
        <v>0</v>
      </c>
      <c r="AA47">
        <v>0</v>
      </c>
      <c r="AB47">
        <v>0</v>
      </c>
      <c r="AC47" t="b">
        <v>0</v>
      </c>
      <c r="AD47" t="s">
        <v>195</v>
      </c>
      <c r="AE47" t="s">
        <v>203</v>
      </c>
      <c r="AF47" t="s">
        <v>195</v>
      </c>
      <c r="AG47" t="s">
        <v>195</v>
      </c>
      <c r="AH47">
        <v>176</v>
      </c>
      <c r="AI47">
        <v>0</v>
      </c>
      <c r="AJ47">
        <v>0</v>
      </c>
      <c r="AK47">
        <v>0</v>
      </c>
      <c r="AL47">
        <v>176</v>
      </c>
      <c r="AM47" t="b">
        <v>1</v>
      </c>
      <c r="AN47">
        <v>34</v>
      </c>
      <c r="AO47" t="s">
        <v>181</v>
      </c>
    </row>
    <row r="48" spans="2:41" x14ac:dyDescent="0.3">
      <c r="B48">
        <v>38</v>
      </c>
      <c r="C48" t="s">
        <v>347</v>
      </c>
      <c r="D48" s="8">
        <v>0.83491898148148147</v>
      </c>
      <c r="E48" t="s">
        <v>2</v>
      </c>
      <c r="F48" t="s">
        <v>50</v>
      </c>
      <c r="G48">
        <v>938</v>
      </c>
      <c r="H48" t="s">
        <v>348</v>
      </c>
      <c r="I48" t="s">
        <v>168</v>
      </c>
      <c r="J48">
        <v>21</v>
      </c>
      <c r="K48" t="s">
        <v>349</v>
      </c>
      <c r="L48" t="s">
        <v>195</v>
      </c>
      <c r="M48">
        <v>53</v>
      </c>
      <c r="N48" t="s">
        <v>199</v>
      </c>
      <c r="O48" t="s">
        <v>350</v>
      </c>
      <c r="P48" t="s">
        <v>300</v>
      </c>
      <c r="Q48">
        <v>90</v>
      </c>
      <c r="R48">
        <v>3</v>
      </c>
      <c r="S48" t="s">
        <v>2</v>
      </c>
      <c r="T48" t="s">
        <v>202</v>
      </c>
      <c r="U48">
        <v>500003</v>
      </c>
      <c r="V48" t="b">
        <v>0</v>
      </c>
      <c r="W48" t="s">
        <v>195</v>
      </c>
      <c r="X48" t="s">
        <v>196</v>
      </c>
      <c r="Y48" t="s">
        <v>195</v>
      </c>
      <c r="Z48">
        <v>0</v>
      </c>
      <c r="AA48">
        <v>0</v>
      </c>
      <c r="AB48">
        <v>0</v>
      </c>
      <c r="AC48" t="b">
        <v>0</v>
      </c>
      <c r="AD48" t="s">
        <v>195</v>
      </c>
      <c r="AE48" t="s">
        <v>203</v>
      </c>
      <c r="AF48" t="s">
        <v>195</v>
      </c>
      <c r="AG48" t="s">
        <v>195</v>
      </c>
      <c r="AH48">
        <v>90</v>
      </c>
      <c r="AI48">
        <v>0</v>
      </c>
      <c r="AJ48">
        <v>0</v>
      </c>
      <c r="AK48">
        <v>0</v>
      </c>
      <c r="AL48">
        <v>90</v>
      </c>
      <c r="AM48" t="b">
        <v>1</v>
      </c>
      <c r="AN48">
        <v>41</v>
      </c>
      <c r="AO48" t="s">
        <v>181</v>
      </c>
    </row>
    <row r="49" spans="2:41" x14ac:dyDescent="0.3">
      <c r="B49">
        <v>39</v>
      </c>
      <c r="C49" t="s">
        <v>351</v>
      </c>
      <c r="D49" s="8">
        <v>0.52053240740740736</v>
      </c>
      <c r="E49" t="s">
        <v>2</v>
      </c>
      <c r="F49" t="s">
        <v>50</v>
      </c>
      <c r="G49">
        <v>233</v>
      </c>
      <c r="H49" t="s">
        <v>352</v>
      </c>
      <c r="I49" t="s">
        <v>168</v>
      </c>
      <c r="J49">
        <v>18</v>
      </c>
      <c r="K49" t="s">
        <v>250</v>
      </c>
      <c r="L49" t="s">
        <v>185</v>
      </c>
      <c r="M49">
        <v>28</v>
      </c>
      <c r="N49" t="s">
        <v>265</v>
      </c>
      <c r="O49" t="s">
        <v>270</v>
      </c>
      <c r="P49" t="s">
        <v>253</v>
      </c>
      <c r="Q49">
        <v>277</v>
      </c>
      <c r="R49">
        <v>4</v>
      </c>
      <c r="S49" t="s">
        <v>2</v>
      </c>
      <c r="T49" t="s">
        <v>202</v>
      </c>
      <c r="U49">
        <v>500004</v>
      </c>
      <c r="V49" t="b">
        <v>1</v>
      </c>
      <c r="W49" t="s">
        <v>188</v>
      </c>
      <c r="X49" t="s">
        <v>189</v>
      </c>
      <c r="Y49" t="s">
        <v>177</v>
      </c>
      <c r="Z49">
        <v>50</v>
      </c>
      <c r="AA49">
        <v>150</v>
      </c>
      <c r="AB49">
        <v>199</v>
      </c>
      <c r="AC49" t="b">
        <v>1</v>
      </c>
      <c r="AD49" t="s">
        <v>121</v>
      </c>
      <c r="AE49" t="s">
        <v>339</v>
      </c>
      <c r="AF49" t="s">
        <v>340</v>
      </c>
      <c r="AG49" t="s">
        <v>341</v>
      </c>
      <c r="AH49">
        <v>554</v>
      </c>
      <c r="AI49">
        <v>150</v>
      </c>
      <c r="AJ49">
        <v>10</v>
      </c>
      <c r="AK49">
        <v>160</v>
      </c>
      <c r="AL49">
        <v>394</v>
      </c>
      <c r="AM49" t="b">
        <v>1</v>
      </c>
      <c r="AN49">
        <v>27</v>
      </c>
      <c r="AO49" t="s">
        <v>181</v>
      </c>
    </row>
    <row r="50" spans="2:41" x14ac:dyDescent="0.3">
      <c r="B50">
        <v>40</v>
      </c>
      <c r="C50" t="s">
        <v>353</v>
      </c>
      <c r="D50" s="8">
        <v>5.8622685185185187E-2</v>
      </c>
      <c r="E50" t="s">
        <v>3</v>
      </c>
      <c r="F50" t="s">
        <v>51</v>
      </c>
      <c r="G50">
        <v>4305</v>
      </c>
      <c r="H50" t="s">
        <v>354</v>
      </c>
      <c r="I50" t="s">
        <v>168</v>
      </c>
      <c r="J50">
        <v>29</v>
      </c>
      <c r="K50" t="s">
        <v>355</v>
      </c>
      <c r="L50" t="s">
        <v>195</v>
      </c>
      <c r="M50">
        <v>89</v>
      </c>
      <c r="N50" t="s">
        <v>207</v>
      </c>
      <c r="O50" t="s">
        <v>356</v>
      </c>
      <c r="P50" t="s">
        <v>219</v>
      </c>
      <c r="Q50">
        <v>96</v>
      </c>
      <c r="R50">
        <v>17</v>
      </c>
      <c r="S50" t="s">
        <v>3</v>
      </c>
      <c r="T50" t="s">
        <v>174</v>
      </c>
      <c r="U50">
        <v>560066</v>
      </c>
      <c r="V50" t="b">
        <v>0</v>
      </c>
      <c r="W50" t="s">
        <v>195</v>
      </c>
      <c r="X50" t="s">
        <v>196</v>
      </c>
      <c r="Y50" t="s">
        <v>195</v>
      </c>
      <c r="Z50">
        <v>0</v>
      </c>
      <c r="AA50">
        <v>0</v>
      </c>
      <c r="AB50">
        <v>0</v>
      </c>
      <c r="AC50" t="b">
        <v>1</v>
      </c>
      <c r="AD50" t="s">
        <v>118</v>
      </c>
      <c r="AE50" t="s">
        <v>178</v>
      </c>
      <c r="AF50" t="s">
        <v>179</v>
      </c>
      <c r="AG50" t="s">
        <v>180</v>
      </c>
      <c r="AH50">
        <v>288</v>
      </c>
      <c r="AI50">
        <v>0</v>
      </c>
      <c r="AJ50">
        <v>0</v>
      </c>
      <c r="AK50">
        <v>0</v>
      </c>
      <c r="AL50">
        <v>288</v>
      </c>
      <c r="AM50" t="b">
        <v>1</v>
      </c>
      <c r="AN50">
        <v>20</v>
      </c>
      <c r="AO50">
        <v>3.3</v>
      </c>
    </row>
    <row r="51" spans="2:41" x14ac:dyDescent="0.3">
      <c r="B51">
        <v>41</v>
      </c>
      <c r="C51" t="s">
        <v>69</v>
      </c>
      <c r="D51" s="8">
        <v>0.72777777777777775</v>
      </c>
      <c r="E51" t="s">
        <v>2</v>
      </c>
      <c r="F51" t="s">
        <v>52</v>
      </c>
      <c r="G51">
        <v>2798</v>
      </c>
      <c r="H51" t="s">
        <v>357</v>
      </c>
      <c r="I51" t="s">
        <v>168</v>
      </c>
      <c r="J51">
        <v>42</v>
      </c>
      <c r="K51" t="s">
        <v>358</v>
      </c>
      <c r="L51" t="s">
        <v>170</v>
      </c>
      <c r="M51">
        <v>43</v>
      </c>
      <c r="N51" t="s">
        <v>234</v>
      </c>
      <c r="O51" t="s">
        <v>359</v>
      </c>
      <c r="P51" t="s">
        <v>253</v>
      </c>
      <c r="Q51">
        <v>115</v>
      </c>
      <c r="R51">
        <v>7</v>
      </c>
      <c r="S51" t="s">
        <v>2</v>
      </c>
      <c r="T51" t="s">
        <v>202</v>
      </c>
      <c r="U51">
        <v>500032</v>
      </c>
      <c r="V51" t="b">
        <v>1</v>
      </c>
      <c r="W51" t="s">
        <v>188</v>
      </c>
      <c r="X51" t="s">
        <v>189</v>
      </c>
      <c r="Y51" t="s">
        <v>177</v>
      </c>
      <c r="Z51">
        <v>50</v>
      </c>
      <c r="AA51">
        <v>150</v>
      </c>
      <c r="AB51">
        <v>199</v>
      </c>
      <c r="AC51" t="b">
        <v>0</v>
      </c>
      <c r="AD51" t="s">
        <v>195</v>
      </c>
      <c r="AE51" t="s">
        <v>203</v>
      </c>
      <c r="AF51" t="s">
        <v>195</v>
      </c>
      <c r="AG51" t="s">
        <v>195</v>
      </c>
      <c r="AH51">
        <v>345</v>
      </c>
      <c r="AI51">
        <v>150</v>
      </c>
      <c r="AJ51">
        <v>25</v>
      </c>
      <c r="AK51">
        <v>175</v>
      </c>
      <c r="AL51">
        <v>170</v>
      </c>
      <c r="AM51" t="b">
        <v>1</v>
      </c>
      <c r="AN51">
        <v>34</v>
      </c>
      <c r="AO51" t="s">
        <v>181</v>
      </c>
    </row>
    <row r="52" spans="2:41" x14ac:dyDescent="0.3">
      <c r="B52">
        <v>42</v>
      </c>
      <c r="C52" t="s">
        <v>360</v>
      </c>
      <c r="D52" s="8">
        <v>0.9018518518518519</v>
      </c>
      <c r="E52" t="s">
        <v>3</v>
      </c>
      <c r="F52" t="s">
        <v>52</v>
      </c>
      <c r="G52">
        <v>5732</v>
      </c>
      <c r="H52" t="s">
        <v>361</v>
      </c>
      <c r="I52" t="s">
        <v>184</v>
      </c>
      <c r="J52">
        <v>18</v>
      </c>
      <c r="K52" t="s">
        <v>362</v>
      </c>
      <c r="L52" t="s">
        <v>195</v>
      </c>
      <c r="M52">
        <v>101</v>
      </c>
      <c r="N52" t="s">
        <v>288</v>
      </c>
      <c r="O52" t="s">
        <v>363</v>
      </c>
      <c r="P52" t="s">
        <v>228</v>
      </c>
      <c r="Q52">
        <v>60</v>
      </c>
      <c r="R52">
        <v>16</v>
      </c>
      <c r="S52" t="s">
        <v>3</v>
      </c>
      <c r="T52" t="s">
        <v>174</v>
      </c>
      <c r="U52">
        <v>560034</v>
      </c>
      <c r="V52" t="b">
        <v>0</v>
      </c>
      <c r="W52" t="s">
        <v>195</v>
      </c>
      <c r="X52" t="s">
        <v>196</v>
      </c>
      <c r="Y52" t="s">
        <v>195</v>
      </c>
      <c r="Z52">
        <v>0</v>
      </c>
      <c r="AA52">
        <v>0</v>
      </c>
      <c r="AB52">
        <v>0</v>
      </c>
      <c r="AC52" t="b">
        <v>1</v>
      </c>
      <c r="AD52" t="s">
        <v>118</v>
      </c>
      <c r="AE52" t="s">
        <v>178</v>
      </c>
      <c r="AF52" t="s">
        <v>179</v>
      </c>
      <c r="AG52" t="s">
        <v>180</v>
      </c>
      <c r="AH52">
        <v>60</v>
      </c>
      <c r="AI52">
        <v>0</v>
      </c>
      <c r="AJ52">
        <v>0</v>
      </c>
      <c r="AK52">
        <v>0</v>
      </c>
      <c r="AL52">
        <v>60</v>
      </c>
      <c r="AM52" t="b">
        <v>1</v>
      </c>
      <c r="AN52">
        <v>31</v>
      </c>
      <c r="AO52" t="s">
        <v>181</v>
      </c>
    </row>
    <row r="53" spans="2:41" x14ac:dyDescent="0.3">
      <c r="B53">
        <v>43</v>
      </c>
      <c r="C53" t="s">
        <v>364</v>
      </c>
      <c r="D53" s="8">
        <v>5.1909722222222225E-2</v>
      </c>
      <c r="E53" t="s">
        <v>3</v>
      </c>
      <c r="F53" t="s">
        <v>52</v>
      </c>
      <c r="G53">
        <v>3168</v>
      </c>
      <c r="H53" t="s">
        <v>365</v>
      </c>
      <c r="I53" t="s">
        <v>184</v>
      </c>
      <c r="J53">
        <v>20</v>
      </c>
      <c r="K53" t="s">
        <v>366</v>
      </c>
      <c r="L53" t="s">
        <v>170</v>
      </c>
      <c r="M53">
        <v>107</v>
      </c>
      <c r="N53" t="s">
        <v>293</v>
      </c>
      <c r="O53" t="s">
        <v>367</v>
      </c>
      <c r="P53" t="s">
        <v>173</v>
      </c>
      <c r="Q53">
        <v>275</v>
      </c>
      <c r="R53">
        <v>20</v>
      </c>
      <c r="S53" t="s">
        <v>3</v>
      </c>
      <c r="T53" t="s">
        <v>174</v>
      </c>
      <c r="U53">
        <v>560103</v>
      </c>
      <c r="V53" t="b">
        <v>1</v>
      </c>
      <c r="W53" t="s">
        <v>304</v>
      </c>
      <c r="X53" t="s">
        <v>305</v>
      </c>
      <c r="Y53" t="s">
        <v>231</v>
      </c>
      <c r="Z53">
        <v>40</v>
      </c>
      <c r="AA53">
        <v>40</v>
      </c>
      <c r="AB53">
        <v>149</v>
      </c>
      <c r="AC53" t="b">
        <v>0</v>
      </c>
      <c r="AD53" t="s">
        <v>195</v>
      </c>
      <c r="AE53" t="s">
        <v>203</v>
      </c>
      <c r="AF53" t="s">
        <v>195</v>
      </c>
      <c r="AG53" t="s">
        <v>195</v>
      </c>
      <c r="AH53">
        <v>275</v>
      </c>
      <c r="AI53">
        <v>40</v>
      </c>
      <c r="AJ53">
        <v>25</v>
      </c>
      <c r="AK53">
        <v>65</v>
      </c>
      <c r="AL53">
        <v>210</v>
      </c>
      <c r="AM53" t="b">
        <v>1</v>
      </c>
      <c r="AN53">
        <v>22</v>
      </c>
      <c r="AO53" t="s">
        <v>181</v>
      </c>
    </row>
    <row r="54" spans="2:41" x14ac:dyDescent="0.3">
      <c r="B54">
        <v>44</v>
      </c>
      <c r="C54" t="s">
        <v>368</v>
      </c>
      <c r="D54" s="8">
        <v>0.40385416666666668</v>
      </c>
      <c r="E54" t="s">
        <v>3</v>
      </c>
      <c r="F54" t="s">
        <v>52</v>
      </c>
      <c r="G54">
        <v>3196</v>
      </c>
      <c r="H54" t="s">
        <v>369</v>
      </c>
      <c r="I54" t="s">
        <v>184</v>
      </c>
      <c r="J54">
        <v>27</v>
      </c>
      <c r="K54" t="s">
        <v>370</v>
      </c>
      <c r="L54" t="s">
        <v>195</v>
      </c>
      <c r="M54">
        <v>107</v>
      </c>
      <c r="N54" t="s">
        <v>293</v>
      </c>
      <c r="O54" t="s">
        <v>367</v>
      </c>
      <c r="P54" t="s">
        <v>173</v>
      </c>
      <c r="Q54">
        <v>275</v>
      </c>
      <c r="R54">
        <v>20</v>
      </c>
      <c r="S54" t="s">
        <v>3</v>
      </c>
      <c r="T54" t="s">
        <v>174</v>
      </c>
      <c r="U54">
        <v>560103</v>
      </c>
      <c r="V54" t="b">
        <v>0</v>
      </c>
      <c r="W54" t="s">
        <v>195</v>
      </c>
      <c r="X54" t="s">
        <v>196</v>
      </c>
      <c r="Y54" t="s">
        <v>195</v>
      </c>
      <c r="Z54">
        <v>0</v>
      </c>
      <c r="AA54">
        <v>0</v>
      </c>
      <c r="AB54">
        <v>0</v>
      </c>
      <c r="AC54" t="b">
        <v>0</v>
      </c>
      <c r="AD54" t="s">
        <v>195</v>
      </c>
      <c r="AE54" t="s">
        <v>203</v>
      </c>
      <c r="AF54" t="s">
        <v>195</v>
      </c>
      <c r="AG54" t="s">
        <v>195</v>
      </c>
      <c r="AH54">
        <v>275</v>
      </c>
      <c r="AI54">
        <v>0</v>
      </c>
      <c r="AJ54">
        <v>0</v>
      </c>
      <c r="AK54">
        <v>0</v>
      </c>
      <c r="AL54">
        <v>275</v>
      </c>
      <c r="AM54" t="b">
        <v>1</v>
      </c>
      <c r="AN54">
        <v>31</v>
      </c>
      <c r="AO54" t="s">
        <v>181</v>
      </c>
    </row>
    <row r="55" spans="2:41" x14ac:dyDescent="0.3">
      <c r="B55">
        <v>45</v>
      </c>
      <c r="C55" t="s">
        <v>371</v>
      </c>
      <c r="D55" s="8">
        <v>0.95037037037037042</v>
      </c>
      <c r="E55" t="s">
        <v>3</v>
      </c>
      <c r="F55" t="s">
        <v>52</v>
      </c>
      <c r="G55">
        <v>3490</v>
      </c>
      <c r="H55" t="s">
        <v>372</v>
      </c>
      <c r="I55" t="s">
        <v>168</v>
      </c>
      <c r="J55">
        <v>27</v>
      </c>
      <c r="K55" t="s">
        <v>373</v>
      </c>
      <c r="L55" t="s">
        <v>170</v>
      </c>
      <c r="M55">
        <v>99</v>
      </c>
      <c r="N55" t="s">
        <v>171</v>
      </c>
      <c r="O55" t="s">
        <v>374</v>
      </c>
      <c r="P55" t="s">
        <v>219</v>
      </c>
      <c r="Q55">
        <v>120</v>
      </c>
      <c r="R55">
        <v>11</v>
      </c>
      <c r="S55" t="s">
        <v>3</v>
      </c>
      <c r="T55" t="s">
        <v>174</v>
      </c>
      <c r="U55">
        <v>560001</v>
      </c>
      <c r="V55" t="b">
        <v>0</v>
      </c>
      <c r="W55" t="s">
        <v>195</v>
      </c>
      <c r="X55" t="s">
        <v>196</v>
      </c>
      <c r="Y55" t="s">
        <v>195</v>
      </c>
      <c r="Z55">
        <v>0</v>
      </c>
      <c r="AA55">
        <v>0</v>
      </c>
      <c r="AB55">
        <v>0</v>
      </c>
      <c r="AC55" t="b">
        <v>0</v>
      </c>
      <c r="AD55" t="s">
        <v>195</v>
      </c>
      <c r="AE55" t="s">
        <v>203</v>
      </c>
      <c r="AF55" t="s">
        <v>195</v>
      </c>
      <c r="AG55" t="s">
        <v>195</v>
      </c>
      <c r="AH55">
        <v>120</v>
      </c>
      <c r="AI55">
        <v>0</v>
      </c>
      <c r="AJ55">
        <v>25</v>
      </c>
      <c r="AK55">
        <v>25</v>
      </c>
      <c r="AL55">
        <v>95</v>
      </c>
      <c r="AM55" t="b">
        <v>1</v>
      </c>
      <c r="AN55">
        <v>26</v>
      </c>
      <c r="AO55">
        <v>4.4000000000000004</v>
      </c>
    </row>
    <row r="56" spans="2:41" x14ac:dyDescent="0.3">
      <c r="B56">
        <v>46</v>
      </c>
      <c r="C56" t="s">
        <v>375</v>
      </c>
      <c r="D56" s="8">
        <v>0.62967592592592592</v>
      </c>
      <c r="E56" t="s">
        <v>2</v>
      </c>
      <c r="F56" t="s">
        <v>52</v>
      </c>
      <c r="G56">
        <v>85</v>
      </c>
      <c r="H56" t="s">
        <v>376</v>
      </c>
      <c r="I56" t="s">
        <v>184</v>
      </c>
      <c r="J56">
        <v>22</v>
      </c>
      <c r="K56" t="s">
        <v>377</v>
      </c>
      <c r="L56" t="s">
        <v>195</v>
      </c>
      <c r="M56">
        <v>38</v>
      </c>
      <c r="N56" t="s">
        <v>234</v>
      </c>
      <c r="O56" t="s">
        <v>270</v>
      </c>
      <c r="P56" t="s">
        <v>253</v>
      </c>
      <c r="Q56">
        <v>172</v>
      </c>
      <c r="R56">
        <v>8</v>
      </c>
      <c r="S56" t="s">
        <v>2</v>
      </c>
      <c r="T56" t="s">
        <v>202</v>
      </c>
      <c r="U56">
        <v>500034</v>
      </c>
      <c r="V56" t="b">
        <v>1</v>
      </c>
      <c r="W56" t="s">
        <v>229</v>
      </c>
      <c r="X56" t="s">
        <v>230</v>
      </c>
      <c r="Y56" t="s">
        <v>231</v>
      </c>
      <c r="Z56">
        <v>80</v>
      </c>
      <c r="AA56">
        <v>80</v>
      </c>
      <c r="AB56">
        <v>249</v>
      </c>
      <c r="AC56" t="b">
        <v>0</v>
      </c>
      <c r="AD56" t="s">
        <v>195</v>
      </c>
      <c r="AE56" t="s">
        <v>203</v>
      </c>
      <c r="AF56" t="s">
        <v>195</v>
      </c>
      <c r="AG56" t="s">
        <v>195</v>
      </c>
      <c r="AH56">
        <v>344</v>
      </c>
      <c r="AI56">
        <v>80</v>
      </c>
      <c r="AJ56">
        <v>0</v>
      </c>
      <c r="AK56">
        <v>80</v>
      </c>
      <c r="AL56">
        <v>264</v>
      </c>
      <c r="AM56" t="b">
        <v>1</v>
      </c>
      <c r="AN56">
        <v>32</v>
      </c>
      <c r="AO56" t="s">
        <v>181</v>
      </c>
    </row>
    <row r="57" spans="2:41" x14ac:dyDescent="0.3">
      <c r="B57">
        <v>47</v>
      </c>
      <c r="C57" t="s">
        <v>222</v>
      </c>
      <c r="D57" s="8">
        <v>0.63888888888888884</v>
      </c>
      <c r="E57" t="s">
        <v>2</v>
      </c>
      <c r="F57" t="s">
        <v>51</v>
      </c>
      <c r="G57">
        <v>2455</v>
      </c>
      <c r="H57" t="s">
        <v>378</v>
      </c>
      <c r="I57" t="s">
        <v>168</v>
      </c>
      <c r="J57">
        <v>26</v>
      </c>
      <c r="K57" t="s">
        <v>379</v>
      </c>
      <c r="L57" t="s">
        <v>225</v>
      </c>
      <c r="M57">
        <v>34</v>
      </c>
      <c r="N57" t="s">
        <v>327</v>
      </c>
      <c r="O57" t="s">
        <v>380</v>
      </c>
      <c r="P57" t="s">
        <v>228</v>
      </c>
      <c r="Q57">
        <v>72</v>
      </c>
      <c r="R57">
        <v>1</v>
      </c>
      <c r="S57" t="s">
        <v>2</v>
      </c>
      <c r="T57" t="s">
        <v>202</v>
      </c>
      <c r="U57">
        <v>500001</v>
      </c>
      <c r="V57" t="b">
        <v>0</v>
      </c>
      <c r="W57" t="s">
        <v>195</v>
      </c>
      <c r="X57" t="s">
        <v>196</v>
      </c>
      <c r="Y57" t="s">
        <v>195</v>
      </c>
      <c r="Z57">
        <v>0</v>
      </c>
      <c r="AA57">
        <v>0</v>
      </c>
      <c r="AB57">
        <v>0</v>
      </c>
      <c r="AC57" t="b">
        <v>0</v>
      </c>
      <c r="AD57" t="s">
        <v>195</v>
      </c>
      <c r="AE57" t="s">
        <v>203</v>
      </c>
      <c r="AF57" t="s">
        <v>195</v>
      </c>
      <c r="AG57" t="s">
        <v>195</v>
      </c>
      <c r="AH57">
        <v>144</v>
      </c>
      <c r="AI57">
        <v>0</v>
      </c>
      <c r="AJ57">
        <v>25</v>
      </c>
      <c r="AK57">
        <v>25</v>
      </c>
      <c r="AL57">
        <v>119</v>
      </c>
      <c r="AM57" t="b">
        <v>0</v>
      </c>
      <c r="AN57">
        <v>21</v>
      </c>
      <c r="AO57" t="s">
        <v>181</v>
      </c>
    </row>
    <row r="58" spans="2:41" x14ac:dyDescent="0.3">
      <c r="B58">
        <v>48</v>
      </c>
      <c r="C58" t="s">
        <v>381</v>
      </c>
      <c r="D58" s="8">
        <v>0.81956018518518514</v>
      </c>
      <c r="E58" t="s">
        <v>3</v>
      </c>
      <c r="F58" t="s">
        <v>52</v>
      </c>
      <c r="G58">
        <v>5950</v>
      </c>
      <c r="H58" t="s">
        <v>382</v>
      </c>
      <c r="I58" t="s">
        <v>168</v>
      </c>
      <c r="J58">
        <v>31</v>
      </c>
      <c r="K58" t="s">
        <v>383</v>
      </c>
      <c r="L58" t="s">
        <v>195</v>
      </c>
      <c r="M58">
        <v>100</v>
      </c>
      <c r="N58" t="s">
        <v>171</v>
      </c>
      <c r="O58" t="s">
        <v>257</v>
      </c>
      <c r="P58" t="s">
        <v>236</v>
      </c>
      <c r="Q58">
        <v>109</v>
      </c>
      <c r="R58">
        <v>14</v>
      </c>
      <c r="S58" t="s">
        <v>3</v>
      </c>
      <c r="T58" t="s">
        <v>174</v>
      </c>
      <c r="U58">
        <v>560004</v>
      </c>
      <c r="V58" t="b">
        <v>0</v>
      </c>
      <c r="W58" t="s">
        <v>195</v>
      </c>
      <c r="X58" t="s">
        <v>196</v>
      </c>
      <c r="Y58" t="s">
        <v>195</v>
      </c>
      <c r="Z58">
        <v>0</v>
      </c>
      <c r="AA58">
        <v>0</v>
      </c>
      <c r="AB58">
        <v>0</v>
      </c>
      <c r="AC58" t="b">
        <v>0</v>
      </c>
      <c r="AD58" t="s">
        <v>195</v>
      </c>
      <c r="AE58" t="s">
        <v>203</v>
      </c>
      <c r="AF58" t="s">
        <v>195</v>
      </c>
      <c r="AG58" t="s">
        <v>195</v>
      </c>
      <c r="AH58">
        <v>109</v>
      </c>
      <c r="AI58">
        <v>0</v>
      </c>
      <c r="AJ58">
        <v>0</v>
      </c>
      <c r="AK58">
        <v>0</v>
      </c>
      <c r="AL58">
        <v>109</v>
      </c>
      <c r="AM58" t="b">
        <v>1</v>
      </c>
      <c r="AN58">
        <v>25</v>
      </c>
      <c r="AO58">
        <v>5</v>
      </c>
    </row>
    <row r="59" spans="2:41" x14ac:dyDescent="0.3">
      <c r="B59">
        <v>49</v>
      </c>
      <c r="C59" t="s">
        <v>384</v>
      </c>
      <c r="D59" s="8">
        <v>0.98173611111111114</v>
      </c>
      <c r="E59" t="s">
        <v>2</v>
      </c>
      <c r="F59" t="s">
        <v>51</v>
      </c>
      <c r="G59">
        <v>200</v>
      </c>
      <c r="H59" t="s">
        <v>385</v>
      </c>
      <c r="I59" t="s">
        <v>168</v>
      </c>
      <c r="J59">
        <v>32</v>
      </c>
      <c r="K59" t="s">
        <v>351</v>
      </c>
      <c r="L59" t="s">
        <v>185</v>
      </c>
      <c r="M59">
        <v>16</v>
      </c>
      <c r="N59" t="s">
        <v>386</v>
      </c>
      <c r="O59" t="s">
        <v>387</v>
      </c>
      <c r="P59" t="s">
        <v>241</v>
      </c>
      <c r="Q59">
        <v>95</v>
      </c>
      <c r="R59">
        <v>6</v>
      </c>
      <c r="S59" t="s">
        <v>2</v>
      </c>
      <c r="T59" t="s">
        <v>202</v>
      </c>
      <c r="U59">
        <v>500018</v>
      </c>
      <c r="V59" t="b">
        <v>1</v>
      </c>
      <c r="W59" t="s">
        <v>229</v>
      </c>
      <c r="X59" t="s">
        <v>230</v>
      </c>
      <c r="Y59" t="s">
        <v>231</v>
      </c>
      <c r="Z59">
        <v>80</v>
      </c>
      <c r="AA59">
        <v>80</v>
      </c>
      <c r="AB59">
        <v>249</v>
      </c>
      <c r="AC59" t="b">
        <v>1</v>
      </c>
      <c r="AD59" t="s">
        <v>119</v>
      </c>
      <c r="AE59" t="s">
        <v>245</v>
      </c>
      <c r="AF59" t="s">
        <v>246</v>
      </c>
      <c r="AG59" t="s">
        <v>247</v>
      </c>
      <c r="AH59">
        <v>95</v>
      </c>
      <c r="AI59">
        <v>0</v>
      </c>
      <c r="AJ59">
        <v>10</v>
      </c>
      <c r="AK59">
        <v>10</v>
      </c>
      <c r="AL59">
        <v>85</v>
      </c>
      <c r="AM59" t="b">
        <v>1</v>
      </c>
      <c r="AN59">
        <v>36</v>
      </c>
      <c r="AO59" t="s">
        <v>181</v>
      </c>
    </row>
    <row r="60" spans="2:41" x14ac:dyDescent="0.3">
      <c r="B60">
        <v>50</v>
      </c>
      <c r="C60" t="s">
        <v>388</v>
      </c>
      <c r="D60" s="8">
        <v>0.92690972222222223</v>
      </c>
      <c r="E60" t="s">
        <v>2</v>
      </c>
      <c r="F60" t="s">
        <v>52</v>
      </c>
      <c r="G60">
        <v>2817</v>
      </c>
      <c r="H60" t="s">
        <v>389</v>
      </c>
      <c r="I60" t="s">
        <v>168</v>
      </c>
      <c r="J60">
        <v>23</v>
      </c>
      <c r="K60" t="s">
        <v>390</v>
      </c>
      <c r="L60" t="s">
        <v>185</v>
      </c>
      <c r="M60">
        <v>1</v>
      </c>
      <c r="N60" t="s">
        <v>269</v>
      </c>
      <c r="O60" t="s">
        <v>244</v>
      </c>
      <c r="P60" t="s">
        <v>228</v>
      </c>
      <c r="Q60">
        <v>282</v>
      </c>
      <c r="R60">
        <v>1</v>
      </c>
      <c r="S60" t="s">
        <v>2</v>
      </c>
      <c r="T60" t="s">
        <v>202</v>
      </c>
      <c r="U60">
        <v>500001</v>
      </c>
      <c r="V60" t="b">
        <v>0</v>
      </c>
      <c r="W60" t="s">
        <v>195</v>
      </c>
      <c r="X60" t="s">
        <v>196</v>
      </c>
      <c r="Y60" t="s">
        <v>195</v>
      </c>
      <c r="Z60">
        <v>0</v>
      </c>
      <c r="AA60">
        <v>0</v>
      </c>
      <c r="AB60">
        <v>0</v>
      </c>
      <c r="AC60" t="b">
        <v>0</v>
      </c>
      <c r="AD60" t="s">
        <v>195</v>
      </c>
      <c r="AE60" t="s">
        <v>203</v>
      </c>
      <c r="AF60" t="s">
        <v>195</v>
      </c>
      <c r="AG60" t="s">
        <v>195</v>
      </c>
      <c r="AH60">
        <v>564</v>
      </c>
      <c r="AI60">
        <v>0</v>
      </c>
      <c r="AJ60">
        <v>10</v>
      </c>
      <c r="AK60">
        <v>10</v>
      </c>
      <c r="AL60">
        <v>554</v>
      </c>
      <c r="AM60" t="b">
        <v>1</v>
      </c>
      <c r="AN60">
        <v>47</v>
      </c>
      <c r="AO60" t="s">
        <v>181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12E6-F411-4207-A99F-A8ACE8F14CFA}">
  <dimension ref="A1:C15"/>
  <sheetViews>
    <sheetView workbookViewId="0">
      <selection activeCell="B9" sqref="B9"/>
    </sheetView>
  </sheetViews>
  <sheetFormatPr defaultRowHeight="14.4" x14ac:dyDescent="0.3"/>
  <cols>
    <col min="2" max="2" width="19" customWidth="1"/>
    <col min="3" max="3" width="18.21875" customWidth="1"/>
  </cols>
  <sheetData>
    <row r="1" spans="1:3" x14ac:dyDescent="0.3">
      <c r="A1" s="4" t="s">
        <v>391</v>
      </c>
    </row>
    <row r="2" spans="1:3" x14ac:dyDescent="0.3">
      <c r="A2" s="4" t="s">
        <v>392</v>
      </c>
    </row>
    <row r="3" spans="1:3" x14ac:dyDescent="0.3">
      <c r="A3" s="4" t="s">
        <v>393</v>
      </c>
    </row>
    <row r="4" spans="1:3" x14ac:dyDescent="0.3">
      <c r="A4" s="4" t="s">
        <v>394</v>
      </c>
    </row>
    <row r="5" spans="1:3" x14ac:dyDescent="0.3">
      <c r="A5" s="4" t="s">
        <v>395</v>
      </c>
    </row>
    <row r="6" spans="1:3" x14ac:dyDescent="0.3">
      <c r="A6" s="4" t="s">
        <v>396</v>
      </c>
    </row>
    <row r="7" spans="1:3" x14ac:dyDescent="0.3">
      <c r="A7" s="4" t="s">
        <v>397</v>
      </c>
    </row>
    <row r="9" spans="1:3" x14ac:dyDescent="0.3">
      <c r="B9" s="2" t="s">
        <v>398</v>
      </c>
      <c r="C9" s="2" t="s">
        <v>399</v>
      </c>
    </row>
    <row r="10" spans="1:3" x14ac:dyDescent="0.3">
      <c r="B10" t="s">
        <v>400</v>
      </c>
      <c r="C10">
        <v>0</v>
      </c>
    </row>
    <row r="11" spans="1:3" x14ac:dyDescent="0.3">
      <c r="B11" t="s">
        <v>401</v>
      </c>
      <c r="C11">
        <v>0</v>
      </c>
    </row>
    <row r="12" spans="1:3" x14ac:dyDescent="0.3">
      <c r="B12" t="s">
        <v>402</v>
      </c>
      <c r="C12">
        <v>0</v>
      </c>
    </row>
    <row r="13" spans="1:3" x14ac:dyDescent="0.3">
      <c r="B13" t="s">
        <v>402</v>
      </c>
      <c r="C13">
        <v>0</v>
      </c>
    </row>
    <row r="14" spans="1:3" x14ac:dyDescent="0.3">
      <c r="B14" t="s">
        <v>403</v>
      </c>
      <c r="C14">
        <v>0</v>
      </c>
    </row>
    <row r="15" spans="1:3" x14ac:dyDescent="0.3">
      <c r="B15" t="s">
        <v>404</v>
      </c>
      <c r="C1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531D-0D6B-4E57-890A-933C6A85858C}">
  <dimension ref="A1:F134"/>
  <sheetViews>
    <sheetView topLeftCell="A10" workbookViewId="0">
      <selection activeCell="G124" sqref="G124"/>
    </sheetView>
  </sheetViews>
  <sheetFormatPr defaultRowHeight="14.4" x14ac:dyDescent="0.3"/>
  <cols>
    <col min="2" max="2" width="16.109375" customWidth="1"/>
    <col min="3" max="3" width="15.33203125" customWidth="1"/>
    <col min="4" max="5" width="17.44140625" customWidth="1"/>
    <col min="6" max="6" width="20.21875" customWidth="1"/>
  </cols>
  <sheetData>
    <row r="1" spans="1:6" x14ac:dyDescent="0.3">
      <c r="A1" s="1" t="s">
        <v>405</v>
      </c>
    </row>
    <row r="2" spans="1:6" x14ac:dyDescent="0.3">
      <c r="A2" s="1" t="s">
        <v>406</v>
      </c>
    </row>
    <row r="4" spans="1:6" x14ac:dyDescent="0.3">
      <c r="B4" s="2" t="s">
        <v>22</v>
      </c>
      <c r="C4" s="2" t="s">
        <v>20</v>
      </c>
      <c r="D4" s="2" t="s">
        <v>145</v>
      </c>
      <c r="E4" s="2" t="s">
        <v>407</v>
      </c>
      <c r="F4" s="2" t="s">
        <v>55</v>
      </c>
    </row>
    <row r="5" spans="1:6" x14ac:dyDescent="0.3">
      <c r="B5" t="s">
        <v>3</v>
      </c>
      <c r="C5" t="s">
        <v>19</v>
      </c>
      <c r="D5" t="s">
        <v>253</v>
      </c>
      <c r="E5">
        <v>33408</v>
      </c>
      <c r="F5">
        <v>119</v>
      </c>
    </row>
    <row r="6" spans="1:6" x14ac:dyDescent="0.3">
      <c r="B6" t="s">
        <v>3</v>
      </c>
      <c r="C6" t="s">
        <v>19</v>
      </c>
      <c r="D6" t="s">
        <v>173</v>
      </c>
      <c r="E6">
        <v>28911</v>
      </c>
      <c r="F6">
        <v>138</v>
      </c>
    </row>
    <row r="7" spans="1:6" x14ac:dyDescent="0.3">
      <c r="B7" t="s">
        <v>3</v>
      </c>
      <c r="C7" t="s">
        <v>19</v>
      </c>
      <c r="D7" t="s">
        <v>219</v>
      </c>
      <c r="E7">
        <v>25332</v>
      </c>
      <c r="F7">
        <v>121</v>
      </c>
    </row>
    <row r="8" spans="1:6" x14ac:dyDescent="0.3">
      <c r="B8" t="s">
        <v>3</v>
      </c>
      <c r="C8" t="s">
        <v>19</v>
      </c>
      <c r="D8" t="s">
        <v>236</v>
      </c>
      <c r="E8">
        <v>23365</v>
      </c>
      <c r="F8">
        <v>135</v>
      </c>
    </row>
    <row r="9" spans="1:6" x14ac:dyDescent="0.3">
      <c r="B9" t="s">
        <v>3</v>
      </c>
      <c r="C9" t="s">
        <v>19</v>
      </c>
      <c r="D9" t="s">
        <v>300</v>
      </c>
      <c r="E9">
        <v>22936</v>
      </c>
      <c r="F9">
        <v>77</v>
      </c>
    </row>
    <row r="10" spans="1:6" x14ac:dyDescent="0.3">
      <c r="B10" t="s">
        <v>2</v>
      </c>
      <c r="C10" t="s">
        <v>19</v>
      </c>
      <c r="D10" t="s">
        <v>241</v>
      </c>
      <c r="E10">
        <v>42360</v>
      </c>
      <c r="F10">
        <v>187</v>
      </c>
    </row>
    <row r="11" spans="1:6" x14ac:dyDescent="0.3">
      <c r="B11" t="s">
        <v>2</v>
      </c>
      <c r="C11" t="s">
        <v>19</v>
      </c>
      <c r="D11" t="s">
        <v>253</v>
      </c>
      <c r="E11">
        <v>34259</v>
      </c>
      <c r="F11">
        <v>167</v>
      </c>
    </row>
    <row r="12" spans="1:6" x14ac:dyDescent="0.3">
      <c r="B12" t="s">
        <v>2</v>
      </c>
      <c r="C12" t="s">
        <v>19</v>
      </c>
      <c r="D12" t="s">
        <v>236</v>
      </c>
      <c r="E12">
        <v>31373</v>
      </c>
      <c r="F12">
        <v>131</v>
      </c>
    </row>
    <row r="13" spans="1:6" x14ac:dyDescent="0.3">
      <c r="B13" t="s">
        <v>2</v>
      </c>
      <c r="C13" t="s">
        <v>19</v>
      </c>
      <c r="D13" t="s">
        <v>173</v>
      </c>
      <c r="E13">
        <v>26653</v>
      </c>
      <c r="F13">
        <v>66</v>
      </c>
    </row>
    <row r="14" spans="1:6" x14ac:dyDescent="0.3">
      <c r="B14" t="s">
        <v>2</v>
      </c>
      <c r="C14" t="s">
        <v>19</v>
      </c>
      <c r="D14" t="s">
        <v>300</v>
      </c>
      <c r="E14">
        <v>26105</v>
      </c>
      <c r="F14">
        <v>117</v>
      </c>
    </row>
    <row r="15" spans="1:6" x14ac:dyDescent="0.3">
      <c r="B15" t="s">
        <v>3</v>
      </c>
      <c r="C15" t="s">
        <v>18</v>
      </c>
      <c r="D15" t="s">
        <v>253</v>
      </c>
      <c r="E15">
        <v>245463</v>
      </c>
      <c r="F15">
        <v>826</v>
      </c>
    </row>
    <row r="16" spans="1:6" x14ac:dyDescent="0.3">
      <c r="B16" t="s">
        <v>3</v>
      </c>
      <c r="C16" t="s">
        <v>18</v>
      </c>
      <c r="D16" t="s">
        <v>173</v>
      </c>
      <c r="E16">
        <v>205749</v>
      </c>
      <c r="F16">
        <v>909</v>
      </c>
    </row>
    <row r="17" spans="2:6" x14ac:dyDescent="0.3">
      <c r="B17" t="s">
        <v>3</v>
      </c>
      <c r="C17" t="s">
        <v>18</v>
      </c>
      <c r="D17" t="s">
        <v>219</v>
      </c>
      <c r="E17">
        <v>201103</v>
      </c>
      <c r="F17">
        <v>964</v>
      </c>
    </row>
    <row r="18" spans="2:6" x14ac:dyDescent="0.3">
      <c r="B18" t="s">
        <v>3</v>
      </c>
      <c r="C18" t="s">
        <v>18</v>
      </c>
      <c r="D18" t="s">
        <v>236</v>
      </c>
      <c r="E18">
        <v>162409</v>
      </c>
      <c r="F18">
        <v>920</v>
      </c>
    </row>
    <row r="19" spans="2:6" x14ac:dyDescent="0.3">
      <c r="B19" t="s">
        <v>3</v>
      </c>
      <c r="C19" t="s">
        <v>18</v>
      </c>
      <c r="D19" t="s">
        <v>300</v>
      </c>
      <c r="E19">
        <v>156228</v>
      </c>
      <c r="F19">
        <v>601</v>
      </c>
    </row>
    <row r="20" spans="2:6" x14ac:dyDescent="0.3">
      <c r="B20" t="s">
        <v>2</v>
      </c>
      <c r="C20" t="s">
        <v>18</v>
      </c>
      <c r="D20" t="s">
        <v>253</v>
      </c>
      <c r="E20">
        <v>279329</v>
      </c>
      <c r="F20">
        <v>1301</v>
      </c>
    </row>
    <row r="21" spans="2:6" x14ac:dyDescent="0.3">
      <c r="B21" t="s">
        <v>2</v>
      </c>
      <c r="C21" t="s">
        <v>18</v>
      </c>
      <c r="D21" t="s">
        <v>241</v>
      </c>
      <c r="E21">
        <v>262680</v>
      </c>
      <c r="F21">
        <v>1245</v>
      </c>
    </row>
    <row r="22" spans="2:6" x14ac:dyDescent="0.3">
      <c r="B22" t="s">
        <v>2</v>
      </c>
      <c r="C22" t="s">
        <v>18</v>
      </c>
      <c r="D22" t="s">
        <v>236</v>
      </c>
      <c r="E22">
        <v>204913</v>
      </c>
      <c r="F22">
        <v>919</v>
      </c>
    </row>
    <row r="23" spans="2:6" x14ac:dyDescent="0.3">
      <c r="B23" t="s">
        <v>2</v>
      </c>
      <c r="C23" t="s">
        <v>18</v>
      </c>
      <c r="D23" t="s">
        <v>300</v>
      </c>
      <c r="E23">
        <v>180359</v>
      </c>
      <c r="F23">
        <v>834</v>
      </c>
    </row>
    <row r="24" spans="2:6" x14ac:dyDescent="0.3">
      <c r="B24" t="s">
        <v>2</v>
      </c>
      <c r="C24" t="s">
        <v>18</v>
      </c>
      <c r="D24" t="s">
        <v>228</v>
      </c>
      <c r="E24">
        <v>168076</v>
      </c>
      <c r="F24">
        <v>697</v>
      </c>
    </row>
    <row r="25" spans="2:6" x14ac:dyDescent="0.3">
      <c r="B25" t="s">
        <v>3</v>
      </c>
      <c r="C25" t="s">
        <v>17</v>
      </c>
      <c r="D25" t="s">
        <v>253</v>
      </c>
      <c r="E25">
        <v>218042</v>
      </c>
      <c r="F25">
        <v>741</v>
      </c>
    </row>
    <row r="26" spans="2:6" x14ac:dyDescent="0.3">
      <c r="B26" t="s">
        <v>3</v>
      </c>
      <c r="C26" t="s">
        <v>17</v>
      </c>
      <c r="D26" t="s">
        <v>173</v>
      </c>
      <c r="E26">
        <v>192168</v>
      </c>
      <c r="F26">
        <v>872</v>
      </c>
    </row>
    <row r="27" spans="2:6" x14ac:dyDescent="0.3">
      <c r="B27" t="s">
        <v>3</v>
      </c>
      <c r="C27" t="s">
        <v>17</v>
      </c>
      <c r="D27" t="s">
        <v>219</v>
      </c>
      <c r="E27">
        <v>177801</v>
      </c>
      <c r="F27">
        <v>828</v>
      </c>
    </row>
    <row r="28" spans="2:6" x14ac:dyDescent="0.3">
      <c r="B28" t="s">
        <v>3</v>
      </c>
      <c r="C28" t="s">
        <v>17</v>
      </c>
      <c r="D28" t="s">
        <v>236</v>
      </c>
      <c r="E28">
        <v>158994</v>
      </c>
      <c r="F28">
        <v>875</v>
      </c>
    </row>
    <row r="29" spans="2:6" x14ac:dyDescent="0.3">
      <c r="B29" t="s">
        <v>3</v>
      </c>
      <c r="C29" t="s">
        <v>17</v>
      </c>
      <c r="D29" t="s">
        <v>228</v>
      </c>
      <c r="E29">
        <v>135656</v>
      </c>
      <c r="F29">
        <v>548</v>
      </c>
    </row>
    <row r="30" spans="2:6" x14ac:dyDescent="0.3">
      <c r="B30" t="s">
        <v>2</v>
      </c>
      <c r="C30" t="s">
        <v>17</v>
      </c>
      <c r="D30" t="s">
        <v>241</v>
      </c>
      <c r="E30">
        <v>255972</v>
      </c>
      <c r="F30">
        <v>1173</v>
      </c>
    </row>
    <row r="31" spans="2:6" x14ac:dyDescent="0.3">
      <c r="B31" t="s">
        <v>2</v>
      </c>
      <c r="C31" t="s">
        <v>17</v>
      </c>
      <c r="D31" t="s">
        <v>253</v>
      </c>
      <c r="E31">
        <v>241154</v>
      </c>
      <c r="F31">
        <v>1161</v>
      </c>
    </row>
    <row r="32" spans="2:6" x14ac:dyDescent="0.3">
      <c r="B32" t="s">
        <v>2</v>
      </c>
      <c r="C32" t="s">
        <v>17</v>
      </c>
      <c r="D32" t="s">
        <v>236</v>
      </c>
      <c r="E32">
        <v>196965</v>
      </c>
      <c r="F32">
        <v>799</v>
      </c>
    </row>
    <row r="33" spans="2:6" x14ac:dyDescent="0.3">
      <c r="B33" t="s">
        <v>2</v>
      </c>
      <c r="C33" t="s">
        <v>17</v>
      </c>
      <c r="D33" t="s">
        <v>300</v>
      </c>
      <c r="E33">
        <v>156843</v>
      </c>
      <c r="F33">
        <v>724</v>
      </c>
    </row>
    <row r="34" spans="2:6" x14ac:dyDescent="0.3">
      <c r="B34" t="s">
        <v>2</v>
      </c>
      <c r="C34" t="s">
        <v>17</v>
      </c>
      <c r="D34" t="s">
        <v>173</v>
      </c>
      <c r="E34">
        <v>147980</v>
      </c>
      <c r="F34">
        <v>467</v>
      </c>
    </row>
    <row r="35" spans="2:6" x14ac:dyDescent="0.3">
      <c r="B35" t="s">
        <v>3</v>
      </c>
      <c r="C35" t="s">
        <v>16</v>
      </c>
      <c r="D35" t="s">
        <v>253</v>
      </c>
      <c r="E35">
        <v>242333</v>
      </c>
      <c r="F35">
        <v>855</v>
      </c>
    </row>
    <row r="36" spans="2:6" x14ac:dyDescent="0.3">
      <c r="B36" t="s">
        <v>3</v>
      </c>
      <c r="C36" t="s">
        <v>16</v>
      </c>
      <c r="D36" t="s">
        <v>219</v>
      </c>
      <c r="E36">
        <v>202973</v>
      </c>
      <c r="F36">
        <v>997</v>
      </c>
    </row>
    <row r="37" spans="2:6" x14ac:dyDescent="0.3">
      <c r="B37" t="s">
        <v>3</v>
      </c>
      <c r="C37" t="s">
        <v>16</v>
      </c>
      <c r="D37" t="s">
        <v>173</v>
      </c>
      <c r="E37">
        <v>202414</v>
      </c>
      <c r="F37">
        <v>912</v>
      </c>
    </row>
    <row r="38" spans="2:6" x14ac:dyDescent="0.3">
      <c r="B38" t="s">
        <v>3</v>
      </c>
      <c r="C38" t="s">
        <v>16</v>
      </c>
      <c r="D38" t="s">
        <v>236</v>
      </c>
      <c r="E38">
        <v>167087</v>
      </c>
      <c r="F38">
        <v>898</v>
      </c>
    </row>
    <row r="39" spans="2:6" x14ac:dyDescent="0.3">
      <c r="B39" t="s">
        <v>3</v>
      </c>
      <c r="C39" t="s">
        <v>16</v>
      </c>
      <c r="D39" t="s">
        <v>201</v>
      </c>
      <c r="E39">
        <v>152542</v>
      </c>
      <c r="F39">
        <v>709</v>
      </c>
    </row>
    <row r="40" spans="2:6" x14ac:dyDescent="0.3">
      <c r="B40" t="s">
        <v>2</v>
      </c>
      <c r="C40" t="s">
        <v>16</v>
      </c>
      <c r="D40" t="s">
        <v>241</v>
      </c>
      <c r="E40">
        <v>261997</v>
      </c>
      <c r="F40">
        <v>1212</v>
      </c>
    </row>
    <row r="41" spans="2:6" x14ac:dyDescent="0.3">
      <c r="B41" t="s">
        <v>2</v>
      </c>
      <c r="C41" t="s">
        <v>16</v>
      </c>
      <c r="D41" t="s">
        <v>253</v>
      </c>
      <c r="E41">
        <v>261408</v>
      </c>
      <c r="F41">
        <v>1257</v>
      </c>
    </row>
    <row r="42" spans="2:6" x14ac:dyDescent="0.3">
      <c r="B42" t="s">
        <v>2</v>
      </c>
      <c r="C42" t="s">
        <v>16</v>
      </c>
      <c r="D42" t="s">
        <v>236</v>
      </c>
      <c r="E42">
        <v>201111</v>
      </c>
      <c r="F42">
        <v>875</v>
      </c>
    </row>
    <row r="43" spans="2:6" x14ac:dyDescent="0.3">
      <c r="B43" t="s">
        <v>2</v>
      </c>
      <c r="C43" t="s">
        <v>16</v>
      </c>
      <c r="D43" t="s">
        <v>300</v>
      </c>
      <c r="E43">
        <v>173989</v>
      </c>
      <c r="F43">
        <v>820</v>
      </c>
    </row>
    <row r="44" spans="2:6" x14ac:dyDescent="0.3">
      <c r="B44" t="s">
        <v>2</v>
      </c>
      <c r="C44" t="s">
        <v>16</v>
      </c>
      <c r="D44" t="s">
        <v>228</v>
      </c>
      <c r="E44">
        <v>165491</v>
      </c>
      <c r="F44">
        <v>685</v>
      </c>
    </row>
    <row r="45" spans="2:6" x14ac:dyDescent="0.3">
      <c r="B45" t="s">
        <v>3</v>
      </c>
      <c r="C45" t="s">
        <v>15</v>
      </c>
      <c r="D45" t="s">
        <v>253</v>
      </c>
      <c r="E45">
        <v>243858</v>
      </c>
      <c r="F45">
        <v>818</v>
      </c>
    </row>
    <row r="46" spans="2:6" x14ac:dyDescent="0.3">
      <c r="B46" t="s">
        <v>3</v>
      </c>
      <c r="C46" t="s">
        <v>15</v>
      </c>
      <c r="D46" t="s">
        <v>173</v>
      </c>
      <c r="E46">
        <v>216340</v>
      </c>
      <c r="F46">
        <v>958</v>
      </c>
    </row>
    <row r="47" spans="2:6" x14ac:dyDescent="0.3">
      <c r="B47" t="s">
        <v>3</v>
      </c>
      <c r="C47" t="s">
        <v>15</v>
      </c>
      <c r="D47" t="s">
        <v>219</v>
      </c>
      <c r="E47">
        <v>178066</v>
      </c>
      <c r="F47">
        <v>886</v>
      </c>
    </row>
    <row r="48" spans="2:6" x14ac:dyDescent="0.3">
      <c r="B48" t="s">
        <v>3</v>
      </c>
      <c r="C48" t="s">
        <v>15</v>
      </c>
      <c r="D48" t="s">
        <v>236</v>
      </c>
      <c r="E48">
        <v>166685</v>
      </c>
      <c r="F48">
        <v>895</v>
      </c>
    </row>
    <row r="49" spans="2:6" x14ac:dyDescent="0.3">
      <c r="B49" t="s">
        <v>3</v>
      </c>
      <c r="C49" t="s">
        <v>15</v>
      </c>
      <c r="D49" t="s">
        <v>201</v>
      </c>
      <c r="E49">
        <v>156274</v>
      </c>
      <c r="F49">
        <v>734</v>
      </c>
    </row>
    <row r="50" spans="2:6" x14ac:dyDescent="0.3">
      <c r="B50" t="s">
        <v>2</v>
      </c>
      <c r="C50" t="s">
        <v>15</v>
      </c>
      <c r="D50" t="s">
        <v>253</v>
      </c>
      <c r="E50">
        <v>267776</v>
      </c>
      <c r="F50">
        <v>1293</v>
      </c>
    </row>
    <row r="51" spans="2:6" x14ac:dyDescent="0.3">
      <c r="B51" t="s">
        <v>2</v>
      </c>
      <c r="C51" t="s">
        <v>15</v>
      </c>
      <c r="D51" t="s">
        <v>241</v>
      </c>
      <c r="E51">
        <v>256627</v>
      </c>
      <c r="F51">
        <v>1189</v>
      </c>
    </row>
    <row r="52" spans="2:6" x14ac:dyDescent="0.3">
      <c r="B52" t="s">
        <v>2</v>
      </c>
      <c r="C52" t="s">
        <v>15</v>
      </c>
      <c r="D52" t="s">
        <v>236</v>
      </c>
      <c r="E52">
        <v>208736</v>
      </c>
      <c r="F52">
        <v>881</v>
      </c>
    </row>
    <row r="53" spans="2:6" x14ac:dyDescent="0.3">
      <c r="B53" t="s">
        <v>2</v>
      </c>
      <c r="C53" t="s">
        <v>15</v>
      </c>
      <c r="D53" t="s">
        <v>300</v>
      </c>
      <c r="E53">
        <v>167560</v>
      </c>
      <c r="F53">
        <v>783</v>
      </c>
    </row>
    <row r="54" spans="2:6" x14ac:dyDescent="0.3">
      <c r="B54" t="s">
        <v>2</v>
      </c>
      <c r="C54" t="s">
        <v>15</v>
      </c>
      <c r="D54" t="s">
        <v>228</v>
      </c>
      <c r="E54">
        <v>148963</v>
      </c>
      <c r="F54">
        <v>627</v>
      </c>
    </row>
    <row r="55" spans="2:6" x14ac:dyDescent="0.3">
      <c r="B55" t="s">
        <v>3</v>
      </c>
      <c r="C55" t="s">
        <v>14</v>
      </c>
      <c r="D55" t="s">
        <v>253</v>
      </c>
      <c r="E55">
        <v>248327</v>
      </c>
      <c r="F55">
        <v>832</v>
      </c>
    </row>
    <row r="56" spans="2:6" x14ac:dyDescent="0.3">
      <c r="B56" t="s">
        <v>3</v>
      </c>
      <c r="C56" t="s">
        <v>14</v>
      </c>
      <c r="D56" t="s">
        <v>173</v>
      </c>
      <c r="E56">
        <v>209989</v>
      </c>
      <c r="F56">
        <v>943</v>
      </c>
    </row>
    <row r="57" spans="2:6" x14ac:dyDescent="0.3">
      <c r="B57" t="s">
        <v>3</v>
      </c>
      <c r="C57" t="s">
        <v>14</v>
      </c>
      <c r="D57" t="s">
        <v>219</v>
      </c>
      <c r="E57">
        <v>197793</v>
      </c>
      <c r="F57">
        <v>926</v>
      </c>
    </row>
    <row r="58" spans="2:6" x14ac:dyDescent="0.3">
      <c r="B58" t="s">
        <v>3</v>
      </c>
      <c r="C58" t="s">
        <v>14</v>
      </c>
      <c r="D58" t="s">
        <v>236</v>
      </c>
      <c r="E58">
        <v>178386</v>
      </c>
      <c r="F58">
        <v>946</v>
      </c>
    </row>
    <row r="59" spans="2:6" x14ac:dyDescent="0.3">
      <c r="B59" t="s">
        <v>3</v>
      </c>
      <c r="C59" t="s">
        <v>14</v>
      </c>
      <c r="D59" t="s">
        <v>300</v>
      </c>
      <c r="E59">
        <v>169810</v>
      </c>
      <c r="F59">
        <v>642</v>
      </c>
    </row>
    <row r="60" spans="2:6" x14ac:dyDescent="0.3">
      <c r="B60" t="s">
        <v>2</v>
      </c>
      <c r="C60" t="s">
        <v>14</v>
      </c>
      <c r="D60" t="s">
        <v>241</v>
      </c>
      <c r="E60">
        <v>265431</v>
      </c>
      <c r="F60">
        <v>1261</v>
      </c>
    </row>
    <row r="61" spans="2:6" x14ac:dyDescent="0.3">
      <c r="B61" t="s">
        <v>2</v>
      </c>
      <c r="C61" t="s">
        <v>14</v>
      </c>
      <c r="D61" t="s">
        <v>253</v>
      </c>
      <c r="E61">
        <v>263759</v>
      </c>
      <c r="F61">
        <v>1281</v>
      </c>
    </row>
    <row r="62" spans="2:6" x14ac:dyDescent="0.3">
      <c r="B62" t="s">
        <v>2</v>
      </c>
      <c r="C62" t="s">
        <v>14</v>
      </c>
      <c r="D62" t="s">
        <v>236</v>
      </c>
      <c r="E62">
        <v>204741</v>
      </c>
      <c r="F62">
        <v>898</v>
      </c>
    </row>
    <row r="63" spans="2:6" x14ac:dyDescent="0.3">
      <c r="B63" t="s">
        <v>2</v>
      </c>
      <c r="C63" t="s">
        <v>14</v>
      </c>
      <c r="D63" t="s">
        <v>300</v>
      </c>
      <c r="E63">
        <v>179975</v>
      </c>
      <c r="F63">
        <v>832</v>
      </c>
    </row>
    <row r="64" spans="2:6" x14ac:dyDescent="0.3">
      <c r="B64" t="s">
        <v>2</v>
      </c>
      <c r="C64" t="s">
        <v>14</v>
      </c>
      <c r="D64" t="s">
        <v>228</v>
      </c>
      <c r="E64">
        <v>174777</v>
      </c>
      <c r="F64">
        <v>725</v>
      </c>
    </row>
    <row r="65" spans="2:6" x14ac:dyDescent="0.3">
      <c r="B65" t="s">
        <v>3</v>
      </c>
      <c r="C65" t="s">
        <v>13</v>
      </c>
      <c r="D65" t="s">
        <v>253</v>
      </c>
      <c r="E65">
        <v>232949</v>
      </c>
      <c r="F65">
        <v>814</v>
      </c>
    </row>
    <row r="66" spans="2:6" x14ac:dyDescent="0.3">
      <c r="B66" t="s">
        <v>3</v>
      </c>
      <c r="C66" t="s">
        <v>13</v>
      </c>
      <c r="D66" t="s">
        <v>173</v>
      </c>
      <c r="E66">
        <v>205212</v>
      </c>
      <c r="F66">
        <v>940</v>
      </c>
    </row>
    <row r="67" spans="2:6" x14ac:dyDescent="0.3">
      <c r="B67" t="s">
        <v>3</v>
      </c>
      <c r="C67" t="s">
        <v>13</v>
      </c>
      <c r="D67" t="s">
        <v>219</v>
      </c>
      <c r="E67">
        <v>192873</v>
      </c>
      <c r="F67">
        <v>924</v>
      </c>
    </row>
    <row r="68" spans="2:6" x14ac:dyDescent="0.3">
      <c r="B68" t="s">
        <v>3</v>
      </c>
      <c r="C68" t="s">
        <v>13</v>
      </c>
      <c r="D68" t="s">
        <v>236</v>
      </c>
      <c r="E68">
        <v>166374</v>
      </c>
      <c r="F68">
        <v>915</v>
      </c>
    </row>
    <row r="69" spans="2:6" x14ac:dyDescent="0.3">
      <c r="B69" t="s">
        <v>3</v>
      </c>
      <c r="C69" t="s">
        <v>13</v>
      </c>
      <c r="D69" t="s">
        <v>300</v>
      </c>
      <c r="E69">
        <v>146636</v>
      </c>
      <c r="F69">
        <v>560</v>
      </c>
    </row>
    <row r="70" spans="2:6" x14ac:dyDescent="0.3">
      <c r="B70" t="s">
        <v>2</v>
      </c>
      <c r="C70" t="s">
        <v>13</v>
      </c>
      <c r="D70" t="s">
        <v>241</v>
      </c>
      <c r="E70">
        <v>253303</v>
      </c>
      <c r="F70">
        <v>1163</v>
      </c>
    </row>
    <row r="71" spans="2:6" x14ac:dyDescent="0.3">
      <c r="B71" t="s">
        <v>2</v>
      </c>
      <c r="C71" t="s">
        <v>13</v>
      </c>
      <c r="D71" t="s">
        <v>253</v>
      </c>
      <c r="E71">
        <v>249176</v>
      </c>
      <c r="F71">
        <v>1178</v>
      </c>
    </row>
    <row r="72" spans="2:6" x14ac:dyDescent="0.3">
      <c r="B72" t="s">
        <v>2</v>
      </c>
      <c r="C72" t="s">
        <v>13</v>
      </c>
      <c r="D72" t="s">
        <v>236</v>
      </c>
      <c r="E72">
        <v>204482</v>
      </c>
      <c r="F72">
        <v>887</v>
      </c>
    </row>
    <row r="73" spans="2:6" x14ac:dyDescent="0.3">
      <c r="B73" t="s">
        <v>2</v>
      </c>
      <c r="C73" t="s">
        <v>13</v>
      </c>
      <c r="D73" t="s">
        <v>300</v>
      </c>
      <c r="E73">
        <v>172896</v>
      </c>
      <c r="F73">
        <v>791</v>
      </c>
    </row>
    <row r="74" spans="2:6" x14ac:dyDescent="0.3">
      <c r="B74" t="s">
        <v>2</v>
      </c>
      <c r="C74" t="s">
        <v>13</v>
      </c>
      <c r="D74" t="s">
        <v>228</v>
      </c>
      <c r="E74">
        <v>165363</v>
      </c>
      <c r="F74">
        <v>671</v>
      </c>
    </row>
    <row r="75" spans="2:6" x14ac:dyDescent="0.3">
      <c r="B75" t="s">
        <v>3</v>
      </c>
      <c r="C75" t="s">
        <v>12</v>
      </c>
      <c r="D75" t="s">
        <v>253</v>
      </c>
      <c r="E75">
        <v>240330</v>
      </c>
      <c r="F75">
        <v>833</v>
      </c>
    </row>
    <row r="76" spans="2:6" x14ac:dyDescent="0.3">
      <c r="B76" t="s">
        <v>3</v>
      </c>
      <c r="C76" t="s">
        <v>12</v>
      </c>
      <c r="D76" t="s">
        <v>173</v>
      </c>
      <c r="E76">
        <v>210478</v>
      </c>
      <c r="F76">
        <v>933</v>
      </c>
    </row>
    <row r="77" spans="2:6" x14ac:dyDescent="0.3">
      <c r="B77" t="s">
        <v>3</v>
      </c>
      <c r="C77" t="s">
        <v>12</v>
      </c>
      <c r="D77" t="s">
        <v>219</v>
      </c>
      <c r="E77">
        <v>186200</v>
      </c>
      <c r="F77">
        <v>863</v>
      </c>
    </row>
    <row r="78" spans="2:6" x14ac:dyDescent="0.3">
      <c r="B78" t="s">
        <v>3</v>
      </c>
      <c r="C78" t="s">
        <v>12</v>
      </c>
      <c r="D78" t="s">
        <v>236</v>
      </c>
      <c r="E78">
        <v>177703</v>
      </c>
      <c r="F78">
        <v>941</v>
      </c>
    </row>
    <row r="79" spans="2:6" x14ac:dyDescent="0.3">
      <c r="B79" t="s">
        <v>3</v>
      </c>
      <c r="C79" t="s">
        <v>12</v>
      </c>
      <c r="D79" t="s">
        <v>201</v>
      </c>
      <c r="E79">
        <v>146604</v>
      </c>
      <c r="F79">
        <v>678</v>
      </c>
    </row>
    <row r="80" spans="2:6" x14ac:dyDescent="0.3">
      <c r="B80" t="s">
        <v>2</v>
      </c>
      <c r="C80" t="s">
        <v>12</v>
      </c>
      <c r="D80" t="s">
        <v>241</v>
      </c>
      <c r="E80">
        <v>274884</v>
      </c>
      <c r="F80">
        <v>1293</v>
      </c>
    </row>
    <row r="81" spans="2:6" x14ac:dyDescent="0.3">
      <c r="B81" t="s">
        <v>2</v>
      </c>
      <c r="C81" t="s">
        <v>12</v>
      </c>
      <c r="D81" t="s">
        <v>253</v>
      </c>
      <c r="E81">
        <v>247432</v>
      </c>
      <c r="F81">
        <v>1194</v>
      </c>
    </row>
    <row r="82" spans="2:6" x14ac:dyDescent="0.3">
      <c r="B82" t="s">
        <v>2</v>
      </c>
      <c r="C82" t="s">
        <v>12</v>
      </c>
      <c r="D82" t="s">
        <v>236</v>
      </c>
      <c r="E82">
        <v>211172</v>
      </c>
      <c r="F82">
        <v>901</v>
      </c>
    </row>
    <row r="83" spans="2:6" x14ac:dyDescent="0.3">
      <c r="B83" t="s">
        <v>2</v>
      </c>
      <c r="C83" t="s">
        <v>12</v>
      </c>
      <c r="D83" t="s">
        <v>228</v>
      </c>
      <c r="E83">
        <v>172312</v>
      </c>
      <c r="F83">
        <v>691</v>
      </c>
    </row>
    <row r="84" spans="2:6" x14ac:dyDescent="0.3">
      <c r="B84" t="s">
        <v>2</v>
      </c>
      <c r="C84" t="s">
        <v>12</v>
      </c>
      <c r="D84" t="s">
        <v>300</v>
      </c>
      <c r="E84">
        <v>166888</v>
      </c>
      <c r="F84">
        <v>804</v>
      </c>
    </row>
    <row r="85" spans="2:6" x14ac:dyDescent="0.3">
      <c r="B85" t="s">
        <v>3</v>
      </c>
      <c r="C85" t="s">
        <v>11</v>
      </c>
      <c r="D85" t="s">
        <v>253</v>
      </c>
      <c r="E85">
        <v>258120</v>
      </c>
      <c r="F85">
        <v>850</v>
      </c>
    </row>
    <row r="86" spans="2:6" x14ac:dyDescent="0.3">
      <c r="B86" t="s">
        <v>3</v>
      </c>
      <c r="C86" t="s">
        <v>11</v>
      </c>
      <c r="D86" t="s">
        <v>173</v>
      </c>
      <c r="E86">
        <v>221491</v>
      </c>
      <c r="F86">
        <v>977</v>
      </c>
    </row>
    <row r="87" spans="2:6" x14ac:dyDescent="0.3">
      <c r="B87" t="s">
        <v>3</v>
      </c>
      <c r="C87" t="s">
        <v>11</v>
      </c>
      <c r="D87" t="s">
        <v>219</v>
      </c>
      <c r="E87">
        <v>207428</v>
      </c>
      <c r="F87">
        <v>989</v>
      </c>
    </row>
    <row r="88" spans="2:6" x14ac:dyDescent="0.3">
      <c r="B88" t="s">
        <v>3</v>
      </c>
      <c r="C88" t="s">
        <v>11</v>
      </c>
      <c r="D88" t="s">
        <v>236</v>
      </c>
      <c r="E88">
        <v>180169</v>
      </c>
      <c r="F88">
        <v>963</v>
      </c>
    </row>
    <row r="89" spans="2:6" x14ac:dyDescent="0.3">
      <c r="B89" t="s">
        <v>3</v>
      </c>
      <c r="C89" t="s">
        <v>11</v>
      </c>
      <c r="D89" t="s">
        <v>201</v>
      </c>
      <c r="E89">
        <v>148227</v>
      </c>
      <c r="F89">
        <v>697</v>
      </c>
    </row>
    <row r="90" spans="2:6" x14ac:dyDescent="0.3">
      <c r="B90" t="s">
        <v>2</v>
      </c>
      <c r="C90" t="s">
        <v>11</v>
      </c>
      <c r="D90" t="s">
        <v>241</v>
      </c>
      <c r="E90">
        <v>272452</v>
      </c>
      <c r="F90">
        <v>1301</v>
      </c>
    </row>
    <row r="91" spans="2:6" x14ac:dyDescent="0.3">
      <c r="B91" t="s">
        <v>2</v>
      </c>
      <c r="C91" t="s">
        <v>11</v>
      </c>
      <c r="D91" t="s">
        <v>253</v>
      </c>
      <c r="E91">
        <v>255091</v>
      </c>
      <c r="F91">
        <v>1241</v>
      </c>
    </row>
    <row r="92" spans="2:6" x14ac:dyDescent="0.3">
      <c r="B92" t="s">
        <v>2</v>
      </c>
      <c r="C92" t="s">
        <v>11</v>
      </c>
      <c r="D92" t="s">
        <v>236</v>
      </c>
      <c r="E92">
        <v>205527</v>
      </c>
      <c r="F92">
        <v>941</v>
      </c>
    </row>
    <row r="93" spans="2:6" x14ac:dyDescent="0.3">
      <c r="B93" t="s">
        <v>2</v>
      </c>
      <c r="C93" t="s">
        <v>11</v>
      </c>
      <c r="D93" t="s">
        <v>300</v>
      </c>
      <c r="E93">
        <v>172255</v>
      </c>
      <c r="F93">
        <v>793</v>
      </c>
    </row>
    <row r="94" spans="2:6" x14ac:dyDescent="0.3">
      <c r="B94" t="s">
        <v>2</v>
      </c>
      <c r="C94" t="s">
        <v>11</v>
      </c>
      <c r="D94" t="s">
        <v>228</v>
      </c>
      <c r="E94">
        <v>151618</v>
      </c>
      <c r="F94">
        <v>653</v>
      </c>
    </row>
    <row r="95" spans="2:6" x14ac:dyDescent="0.3">
      <c r="B95" t="s">
        <v>3</v>
      </c>
      <c r="C95" t="s">
        <v>10</v>
      </c>
      <c r="D95" t="s">
        <v>253</v>
      </c>
      <c r="E95">
        <v>238580</v>
      </c>
      <c r="F95">
        <v>783</v>
      </c>
    </row>
    <row r="96" spans="2:6" x14ac:dyDescent="0.3">
      <c r="B96" t="s">
        <v>3</v>
      </c>
      <c r="C96" t="s">
        <v>10</v>
      </c>
      <c r="D96" t="s">
        <v>173</v>
      </c>
      <c r="E96">
        <v>191306</v>
      </c>
      <c r="F96">
        <v>841</v>
      </c>
    </row>
    <row r="97" spans="2:6" x14ac:dyDescent="0.3">
      <c r="B97" t="s">
        <v>3</v>
      </c>
      <c r="C97" t="s">
        <v>10</v>
      </c>
      <c r="D97" t="s">
        <v>219</v>
      </c>
      <c r="E97">
        <v>189302</v>
      </c>
      <c r="F97">
        <v>916</v>
      </c>
    </row>
    <row r="98" spans="2:6" x14ac:dyDescent="0.3">
      <c r="B98" t="s">
        <v>3</v>
      </c>
      <c r="C98" t="s">
        <v>10</v>
      </c>
      <c r="D98" t="s">
        <v>236</v>
      </c>
      <c r="E98">
        <v>175245</v>
      </c>
      <c r="F98">
        <v>936</v>
      </c>
    </row>
    <row r="99" spans="2:6" x14ac:dyDescent="0.3">
      <c r="B99" t="s">
        <v>3</v>
      </c>
      <c r="C99" t="s">
        <v>10</v>
      </c>
      <c r="D99" t="s">
        <v>300</v>
      </c>
      <c r="E99">
        <v>156489</v>
      </c>
      <c r="F99">
        <v>578</v>
      </c>
    </row>
    <row r="100" spans="2:6" x14ac:dyDescent="0.3">
      <c r="B100" t="s">
        <v>2</v>
      </c>
      <c r="C100" t="s">
        <v>10</v>
      </c>
      <c r="D100" t="s">
        <v>253</v>
      </c>
      <c r="E100">
        <v>260026</v>
      </c>
      <c r="F100">
        <v>1282</v>
      </c>
    </row>
    <row r="101" spans="2:6" x14ac:dyDescent="0.3">
      <c r="B101" t="s">
        <v>2</v>
      </c>
      <c r="C101" t="s">
        <v>10</v>
      </c>
      <c r="D101" t="s">
        <v>241</v>
      </c>
      <c r="E101">
        <v>246275</v>
      </c>
      <c r="F101">
        <v>1194</v>
      </c>
    </row>
    <row r="102" spans="2:6" x14ac:dyDescent="0.3">
      <c r="B102" t="s">
        <v>2</v>
      </c>
      <c r="C102" t="s">
        <v>10</v>
      </c>
      <c r="D102" t="s">
        <v>236</v>
      </c>
      <c r="E102">
        <v>200605</v>
      </c>
      <c r="F102">
        <v>864</v>
      </c>
    </row>
    <row r="103" spans="2:6" x14ac:dyDescent="0.3">
      <c r="B103" t="s">
        <v>2</v>
      </c>
      <c r="C103" t="s">
        <v>10</v>
      </c>
      <c r="D103" t="s">
        <v>300</v>
      </c>
      <c r="E103">
        <v>170413</v>
      </c>
      <c r="F103">
        <v>791</v>
      </c>
    </row>
    <row r="104" spans="2:6" x14ac:dyDescent="0.3">
      <c r="B104" t="s">
        <v>2</v>
      </c>
      <c r="C104" t="s">
        <v>10</v>
      </c>
      <c r="D104" t="s">
        <v>228</v>
      </c>
      <c r="E104">
        <v>162615</v>
      </c>
      <c r="F104">
        <v>657</v>
      </c>
    </row>
    <row r="105" spans="2:6" x14ac:dyDescent="0.3">
      <c r="B105" t="s">
        <v>3</v>
      </c>
      <c r="C105" t="s">
        <v>9</v>
      </c>
      <c r="D105" t="s">
        <v>253</v>
      </c>
      <c r="E105">
        <v>242307</v>
      </c>
      <c r="F105">
        <v>806</v>
      </c>
    </row>
    <row r="106" spans="2:6" x14ac:dyDescent="0.3">
      <c r="B106" t="s">
        <v>3</v>
      </c>
      <c r="C106" t="s">
        <v>9</v>
      </c>
      <c r="D106" t="s">
        <v>173</v>
      </c>
      <c r="E106">
        <v>199365</v>
      </c>
      <c r="F106">
        <v>922</v>
      </c>
    </row>
    <row r="107" spans="2:6" x14ac:dyDescent="0.3">
      <c r="B107" t="s">
        <v>3</v>
      </c>
      <c r="C107" t="s">
        <v>9</v>
      </c>
      <c r="D107" t="s">
        <v>219</v>
      </c>
      <c r="E107">
        <v>196223</v>
      </c>
      <c r="F107">
        <v>940</v>
      </c>
    </row>
    <row r="108" spans="2:6" x14ac:dyDescent="0.3">
      <c r="B108" t="s">
        <v>3</v>
      </c>
      <c r="C108" t="s">
        <v>9</v>
      </c>
      <c r="D108" t="s">
        <v>236</v>
      </c>
      <c r="E108">
        <v>172183</v>
      </c>
      <c r="F108">
        <v>916</v>
      </c>
    </row>
    <row r="109" spans="2:6" x14ac:dyDescent="0.3">
      <c r="B109" t="s">
        <v>3</v>
      </c>
      <c r="C109" t="s">
        <v>9</v>
      </c>
      <c r="D109" t="s">
        <v>201</v>
      </c>
      <c r="E109">
        <v>165217</v>
      </c>
      <c r="F109">
        <v>762</v>
      </c>
    </row>
    <row r="110" spans="2:6" x14ac:dyDescent="0.3">
      <c r="B110" t="s">
        <v>2</v>
      </c>
      <c r="C110" t="s">
        <v>9</v>
      </c>
      <c r="D110" t="s">
        <v>241</v>
      </c>
      <c r="E110">
        <v>257928</v>
      </c>
      <c r="F110">
        <v>1194</v>
      </c>
    </row>
    <row r="111" spans="2:6" x14ac:dyDescent="0.3">
      <c r="B111" t="s">
        <v>2</v>
      </c>
      <c r="C111" t="s">
        <v>9</v>
      </c>
      <c r="D111" t="s">
        <v>253</v>
      </c>
      <c r="E111">
        <v>255870</v>
      </c>
      <c r="F111">
        <v>1244</v>
      </c>
    </row>
    <row r="112" spans="2:6" x14ac:dyDescent="0.3">
      <c r="B112" t="s">
        <v>2</v>
      </c>
      <c r="C112" t="s">
        <v>9</v>
      </c>
      <c r="D112" t="s">
        <v>236</v>
      </c>
      <c r="E112">
        <v>211997</v>
      </c>
      <c r="F112">
        <v>896</v>
      </c>
    </row>
    <row r="113" spans="2:6" x14ac:dyDescent="0.3">
      <c r="B113" t="s">
        <v>2</v>
      </c>
      <c r="C113" t="s">
        <v>9</v>
      </c>
      <c r="D113" t="s">
        <v>300</v>
      </c>
      <c r="E113">
        <v>168902</v>
      </c>
      <c r="F113">
        <v>808</v>
      </c>
    </row>
    <row r="114" spans="2:6" x14ac:dyDescent="0.3">
      <c r="B114" t="s">
        <v>2</v>
      </c>
      <c r="C114" t="s">
        <v>9</v>
      </c>
      <c r="D114" t="s">
        <v>228</v>
      </c>
      <c r="E114">
        <v>160035</v>
      </c>
      <c r="F114">
        <v>670</v>
      </c>
    </row>
    <row r="115" spans="2:6" x14ac:dyDescent="0.3">
      <c r="B115" t="s">
        <v>3</v>
      </c>
      <c r="C115" t="s">
        <v>8</v>
      </c>
      <c r="D115" t="s">
        <v>253</v>
      </c>
      <c r="E115">
        <v>240666</v>
      </c>
      <c r="F115">
        <v>813</v>
      </c>
    </row>
    <row r="116" spans="2:6" x14ac:dyDescent="0.3">
      <c r="B116" t="s">
        <v>3</v>
      </c>
      <c r="C116" t="s">
        <v>8</v>
      </c>
      <c r="D116" t="s">
        <v>173</v>
      </c>
      <c r="E116">
        <v>202155</v>
      </c>
      <c r="F116">
        <v>889</v>
      </c>
    </row>
    <row r="117" spans="2:6" x14ac:dyDescent="0.3">
      <c r="B117" t="s">
        <v>3</v>
      </c>
      <c r="C117" t="s">
        <v>8</v>
      </c>
      <c r="D117" t="s">
        <v>236</v>
      </c>
      <c r="E117">
        <v>180376</v>
      </c>
      <c r="F117">
        <v>950</v>
      </c>
    </row>
    <row r="118" spans="2:6" x14ac:dyDescent="0.3">
      <c r="B118" t="s">
        <v>3</v>
      </c>
      <c r="C118" t="s">
        <v>8</v>
      </c>
      <c r="D118" t="s">
        <v>219</v>
      </c>
      <c r="E118">
        <v>172443</v>
      </c>
      <c r="F118">
        <v>864</v>
      </c>
    </row>
    <row r="119" spans="2:6" x14ac:dyDescent="0.3">
      <c r="B119" t="s">
        <v>3</v>
      </c>
      <c r="C119" t="s">
        <v>8</v>
      </c>
      <c r="D119" t="s">
        <v>300</v>
      </c>
      <c r="E119">
        <v>159247</v>
      </c>
      <c r="F119">
        <v>591</v>
      </c>
    </row>
    <row r="120" spans="2:6" x14ac:dyDescent="0.3">
      <c r="B120" t="s">
        <v>2</v>
      </c>
      <c r="C120" t="s">
        <v>8</v>
      </c>
      <c r="D120" t="s">
        <v>241</v>
      </c>
      <c r="E120">
        <v>264944</v>
      </c>
      <c r="F120">
        <v>1237</v>
      </c>
    </row>
    <row r="121" spans="2:6" x14ac:dyDescent="0.3">
      <c r="B121" t="s">
        <v>2</v>
      </c>
      <c r="C121" t="s">
        <v>8</v>
      </c>
      <c r="D121" t="s">
        <v>253</v>
      </c>
      <c r="E121">
        <v>242927</v>
      </c>
      <c r="F121">
        <v>1209</v>
      </c>
    </row>
    <row r="122" spans="2:6" x14ac:dyDescent="0.3">
      <c r="B122" t="s">
        <v>2</v>
      </c>
      <c r="C122" t="s">
        <v>8</v>
      </c>
      <c r="D122" t="s">
        <v>236</v>
      </c>
      <c r="E122">
        <v>230578</v>
      </c>
      <c r="F122">
        <v>966</v>
      </c>
    </row>
    <row r="123" spans="2:6" x14ac:dyDescent="0.3">
      <c r="B123" t="s">
        <v>2</v>
      </c>
      <c r="C123" t="s">
        <v>8</v>
      </c>
      <c r="D123" t="s">
        <v>300</v>
      </c>
      <c r="E123">
        <v>164115</v>
      </c>
      <c r="F123">
        <v>787</v>
      </c>
    </row>
    <row r="124" spans="2:6" x14ac:dyDescent="0.3">
      <c r="B124" t="s">
        <v>2</v>
      </c>
      <c r="C124" t="s">
        <v>8</v>
      </c>
      <c r="D124" t="s">
        <v>228</v>
      </c>
      <c r="E124">
        <v>143088</v>
      </c>
      <c r="F124">
        <v>628</v>
      </c>
    </row>
    <row r="125" spans="2:6" x14ac:dyDescent="0.3">
      <c r="B125" t="s">
        <v>3</v>
      </c>
      <c r="C125" t="s">
        <v>7</v>
      </c>
      <c r="D125" t="s">
        <v>253</v>
      </c>
      <c r="E125">
        <v>207262</v>
      </c>
      <c r="F125">
        <v>683</v>
      </c>
    </row>
    <row r="126" spans="2:6" x14ac:dyDescent="0.3">
      <c r="B126" t="s">
        <v>3</v>
      </c>
      <c r="C126" t="s">
        <v>7</v>
      </c>
      <c r="D126" t="s">
        <v>173</v>
      </c>
      <c r="E126">
        <v>182112</v>
      </c>
      <c r="F126">
        <v>807</v>
      </c>
    </row>
    <row r="127" spans="2:6" x14ac:dyDescent="0.3">
      <c r="B127" t="s">
        <v>3</v>
      </c>
      <c r="C127" t="s">
        <v>7</v>
      </c>
      <c r="D127" t="s">
        <v>219</v>
      </c>
      <c r="E127">
        <v>159567</v>
      </c>
      <c r="F127">
        <v>764</v>
      </c>
    </row>
    <row r="128" spans="2:6" x14ac:dyDescent="0.3">
      <c r="B128" t="s">
        <v>3</v>
      </c>
      <c r="C128" t="s">
        <v>7</v>
      </c>
      <c r="D128" t="s">
        <v>236</v>
      </c>
      <c r="E128">
        <v>143953</v>
      </c>
      <c r="F128">
        <v>784</v>
      </c>
    </row>
    <row r="129" spans="2:6" x14ac:dyDescent="0.3">
      <c r="B129" t="s">
        <v>3</v>
      </c>
      <c r="C129" t="s">
        <v>7</v>
      </c>
      <c r="D129" t="s">
        <v>300</v>
      </c>
      <c r="E129">
        <v>140661</v>
      </c>
      <c r="F129">
        <v>509</v>
      </c>
    </row>
    <row r="130" spans="2:6" x14ac:dyDescent="0.3">
      <c r="B130" t="s">
        <v>2</v>
      </c>
      <c r="C130" t="s">
        <v>7</v>
      </c>
      <c r="D130" t="s">
        <v>241</v>
      </c>
      <c r="E130">
        <v>234752</v>
      </c>
      <c r="F130">
        <v>1103</v>
      </c>
    </row>
    <row r="131" spans="2:6" x14ac:dyDescent="0.3">
      <c r="B131" t="s">
        <v>2</v>
      </c>
      <c r="C131" t="s">
        <v>7</v>
      </c>
      <c r="D131" t="s">
        <v>253</v>
      </c>
      <c r="E131">
        <v>216353</v>
      </c>
      <c r="F131">
        <v>1031</v>
      </c>
    </row>
    <row r="132" spans="2:6" x14ac:dyDescent="0.3">
      <c r="B132" t="s">
        <v>2</v>
      </c>
      <c r="C132" t="s">
        <v>7</v>
      </c>
      <c r="D132" t="s">
        <v>236</v>
      </c>
      <c r="E132">
        <v>188209</v>
      </c>
      <c r="F132">
        <v>798</v>
      </c>
    </row>
    <row r="133" spans="2:6" x14ac:dyDescent="0.3">
      <c r="B133" t="s">
        <v>2</v>
      </c>
      <c r="C133" t="s">
        <v>7</v>
      </c>
      <c r="D133" t="s">
        <v>300</v>
      </c>
      <c r="E133">
        <v>159774</v>
      </c>
      <c r="F133">
        <v>699</v>
      </c>
    </row>
    <row r="134" spans="2:6" x14ac:dyDescent="0.3">
      <c r="B134" t="s">
        <v>2</v>
      </c>
      <c r="C134" t="s">
        <v>7</v>
      </c>
      <c r="D134" t="s">
        <v>228</v>
      </c>
      <c r="E134">
        <v>148475</v>
      </c>
      <c r="F134">
        <v>602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0A7F-A8C7-4EAA-99E4-6A0725434FED}">
  <dimension ref="A1:F46"/>
  <sheetViews>
    <sheetView topLeftCell="A4" workbookViewId="0">
      <selection activeCell="R25" sqref="R25"/>
    </sheetView>
  </sheetViews>
  <sheetFormatPr defaultRowHeight="14.4" x14ac:dyDescent="0.3"/>
  <cols>
    <col min="2" max="2" width="11.88671875" customWidth="1"/>
    <col min="3" max="3" width="21" customWidth="1"/>
    <col min="4" max="4" width="14.109375" customWidth="1"/>
    <col min="5" max="5" width="12.21875" customWidth="1"/>
    <col min="6" max="6" width="13.21875" customWidth="1"/>
  </cols>
  <sheetData>
    <row r="1" spans="1:6" x14ac:dyDescent="0.3">
      <c r="A1" s="4" t="s">
        <v>408</v>
      </c>
    </row>
    <row r="2" spans="1:6" x14ac:dyDescent="0.3">
      <c r="A2" s="4" t="s">
        <v>409</v>
      </c>
    </row>
    <row r="3" spans="1:6" x14ac:dyDescent="0.3">
      <c r="A3" s="4" t="s">
        <v>410</v>
      </c>
    </row>
    <row r="4" spans="1:6" x14ac:dyDescent="0.3">
      <c r="A4" s="4" t="s">
        <v>411</v>
      </c>
    </row>
    <row r="6" spans="1:6" x14ac:dyDescent="0.3">
      <c r="B6" s="2" t="s">
        <v>22</v>
      </c>
      <c r="C6" s="2" t="s">
        <v>143</v>
      </c>
      <c r="D6" s="2" t="s">
        <v>55</v>
      </c>
      <c r="E6" s="2" t="s">
        <v>407</v>
      </c>
      <c r="F6" s="2" t="s">
        <v>56</v>
      </c>
    </row>
    <row r="7" spans="1:6" x14ac:dyDescent="0.3">
      <c r="B7" t="s">
        <v>3</v>
      </c>
      <c r="C7" t="s">
        <v>260</v>
      </c>
      <c r="D7">
        <v>32312</v>
      </c>
      <c r="E7">
        <v>7385350</v>
      </c>
      <c r="F7">
        <v>35.36</v>
      </c>
    </row>
    <row r="8" spans="1:6" x14ac:dyDescent="0.3">
      <c r="B8" t="s">
        <v>3</v>
      </c>
      <c r="C8" t="s">
        <v>269</v>
      </c>
      <c r="D8">
        <v>32312</v>
      </c>
      <c r="E8">
        <v>7385350</v>
      </c>
      <c r="F8">
        <v>35.36</v>
      </c>
    </row>
    <row r="9" spans="1:6" x14ac:dyDescent="0.3">
      <c r="B9" t="s">
        <v>3</v>
      </c>
      <c r="C9" t="s">
        <v>234</v>
      </c>
      <c r="D9">
        <v>27696</v>
      </c>
      <c r="E9">
        <v>6330300</v>
      </c>
      <c r="F9">
        <v>35.36</v>
      </c>
    </row>
    <row r="10" spans="1:6" x14ac:dyDescent="0.3">
      <c r="B10" t="s">
        <v>3</v>
      </c>
      <c r="C10" t="s">
        <v>308</v>
      </c>
      <c r="D10">
        <v>27696</v>
      </c>
      <c r="E10">
        <v>6330300</v>
      </c>
      <c r="F10">
        <v>35.36</v>
      </c>
    </row>
    <row r="11" spans="1:6" x14ac:dyDescent="0.3">
      <c r="B11" t="s">
        <v>3</v>
      </c>
      <c r="C11" t="s">
        <v>412</v>
      </c>
      <c r="D11">
        <v>27696</v>
      </c>
      <c r="E11">
        <v>6330300</v>
      </c>
      <c r="F11">
        <v>35.36</v>
      </c>
    </row>
    <row r="12" spans="1:6" x14ac:dyDescent="0.3">
      <c r="B12" t="s">
        <v>3</v>
      </c>
      <c r="C12" t="s">
        <v>386</v>
      </c>
      <c r="D12">
        <v>27696</v>
      </c>
      <c r="E12">
        <v>6330300</v>
      </c>
      <c r="F12">
        <v>35.36</v>
      </c>
    </row>
    <row r="13" spans="1:6" x14ac:dyDescent="0.3">
      <c r="B13" t="s">
        <v>3</v>
      </c>
      <c r="C13" t="s">
        <v>288</v>
      </c>
      <c r="D13">
        <v>27696</v>
      </c>
      <c r="E13">
        <v>6330300</v>
      </c>
      <c r="F13">
        <v>35.36</v>
      </c>
    </row>
    <row r="14" spans="1:6" x14ac:dyDescent="0.3">
      <c r="B14" t="s">
        <v>3</v>
      </c>
      <c r="C14" t="s">
        <v>171</v>
      </c>
      <c r="D14">
        <v>27696</v>
      </c>
      <c r="E14">
        <v>6330300</v>
      </c>
      <c r="F14">
        <v>35.36</v>
      </c>
    </row>
    <row r="15" spans="1:6" x14ac:dyDescent="0.3">
      <c r="B15" t="s">
        <v>3</v>
      </c>
      <c r="C15" t="s">
        <v>207</v>
      </c>
      <c r="D15">
        <v>27696</v>
      </c>
      <c r="E15">
        <v>6330300</v>
      </c>
      <c r="F15">
        <v>35.36</v>
      </c>
    </row>
    <row r="16" spans="1:6" x14ac:dyDescent="0.3">
      <c r="B16" t="s">
        <v>3</v>
      </c>
      <c r="C16" t="s">
        <v>226</v>
      </c>
      <c r="D16">
        <v>27696</v>
      </c>
      <c r="E16">
        <v>6330300</v>
      </c>
      <c r="F16">
        <v>35.36</v>
      </c>
    </row>
    <row r="17" spans="2:6" x14ac:dyDescent="0.3">
      <c r="B17" t="s">
        <v>3</v>
      </c>
      <c r="C17" t="s">
        <v>199</v>
      </c>
      <c r="D17">
        <v>27696</v>
      </c>
      <c r="E17">
        <v>6330300</v>
      </c>
      <c r="F17">
        <v>35.36</v>
      </c>
    </row>
    <row r="18" spans="2:6" x14ac:dyDescent="0.3">
      <c r="B18" t="s">
        <v>3</v>
      </c>
      <c r="C18" t="s">
        <v>186</v>
      </c>
      <c r="D18">
        <v>27696</v>
      </c>
      <c r="E18">
        <v>6330300</v>
      </c>
      <c r="F18">
        <v>35.36</v>
      </c>
    </row>
    <row r="19" spans="2:6" x14ac:dyDescent="0.3">
      <c r="B19" t="s">
        <v>3</v>
      </c>
      <c r="C19" t="s">
        <v>327</v>
      </c>
      <c r="D19">
        <v>27696</v>
      </c>
      <c r="E19">
        <v>6330300</v>
      </c>
      <c r="F19">
        <v>35.36</v>
      </c>
    </row>
    <row r="20" spans="2:6" x14ac:dyDescent="0.3">
      <c r="B20" t="s">
        <v>3</v>
      </c>
      <c r="C20" t="s">
        <v>265</v>
      </c>
      <c r="D20">
        <v>27696</v>
      </c>
      <c r="E20">
        <v>6330300</v>
      </c>
      <c r="F20">
        <v>35.36</v>
      </c>
    </row>
    <row r="21" spans="2:6" x14ac:dyDescent="0.3">
      <c r="B21" t="s">
        <v>3</v>
      </c>
      <c r="C21" t="s">
        <v>251</v>
      </c>
      <c r="D21">
        <v>23080</v>
      </c>
      <c r="E21">
        <v>5275250</v>
      </c>
      <c r="F21">
        <v>35.36</v>
      </c>
    </row>
    <row r="22" spans="2:6" x14ac:dyDescent="0.3">
      <c r="B22" t="s">
        <v>3</v>
      </c>
      <c r="C22" t="s">
        <v>217</v>
      </c>
      <c r="D22">
        <v>23080</v>
      </c>
      <c r="E22">
        <v>5275250</v>
      </c>
      <c r="F22">
        <v>35.36</v>
      </c>
    </row>
    <row r="23" spans="2:6" x14ac:dyDescent="0.3">
      <c r="B23" t="s">
        <v>3</v>
      </c>
      <c r="C23" t="s">
        <v>293</v>
      </c>
      <c r="D23">
        <v>23080</v>
      </c>
      <c r="E23">
        <v>5275250</v>
      </c>
      <c r="F23">
        <v>35.36</v>
      </c>
    </row>
    <row r="24" spans="2:6" x14ac:dyDescent="0.3">
      <c r="B24" t="s">
        <v>3</v>
      </c>
      <c r="C24" t="s">
        <v>283</v>
      </c>
      <c r="D24">
        <v>23080</v>
      </c>
      <c r="E24">
        <v>5275250</v>
      </c>
      <c r="F24">
        <v>35.36</v>
      </c>
    </row>
    <row r="25" spans="2:6" x14ac:dyDescent="0.3">
      <c r="B25" t="s">
        <v>3</v>
      </c>
      <c r="C25" t="s">
        <v>193</v>
      </c>
      <c r="D25">
        <v>23080</v>
      </c>
      <c r="E25">
        <v>5275250</v>
      </c>
      <c r="F25">
        <v>35.36</v>
      </c>
    </row>
    <row r="26" spans="2:6" x14ac:dyDescent="0.3">
      <c r="B26" t="s">
        <v>3</v>
      </c>
      <c r="C26" t="s">
        <v>413</v>
      </c>
      <c r="D26">
        <v>23080</v>
      </c>
      <c r="E26">
        <v>5275250</v>
      </c>
      <c r="F26">
        <v>35.36</v>
      </c>
    </row>
    <row r="27" spans="2:6" x14ac:dyDescent="0.3">
      <c r="B27" t="s">
        <v>2</v>
      </c>
      <c r="C27" t="s">
        <v>260</v>
      </c>
      <c r="D27">
        <v>33152</v>
      </c>
      <c r="E27">
        <v>7376355</v>
      </c>
      <c r="F27">
        <v>33.15</v>
      </c>
    </row>
    <row r="28" spans="2:6" x14ac:dyDescent="0.3">
      <c r="B28" t="s">
        <v>2</v>
      </c>
      <c r="C28" t="s">
        <v>269</v>
      </c>
      <c r="D28">
        <v>33152</v>
      </c>
      <c r="E28">
        <v>7376355</v>
      </c>
      <c r="F28">
        <v>33.15</v>
      </c>
    </row>
    <row r="29" spans="2:6" x14ac:dyDescent="0.3">
      <c r="B29" t="s">
        <v>2</v>
      </c>
      <c r="C29" t="s">
        <v>412</v>
      </c>
      <c r="D29">
        <v>28416</v>
      </c>
      <c r="E29">
        <v>6322590</v>
      </c>
      <c r="F29">
        <v>33.15</v>
      </c>
    </row>
    <row r="30" spans="2:6" x14ac:dyDescent="0.3">
      <c r="B30" t="s">
        <v>2</v>
      </c>
      <c r="C30" t="s">
        <v>234</v>
      </c>
      <c r="D30">
        <v>28416</v>
      </c>
      <c r="E30">
        <v>6322590</v>
      </c>
      <c r="F30">
        <v>33.15</v>
      </c>
    </row>
    <row r="31" spans="2:6" x14ac:dyDescent="0.3">
      <c r="B31" t="s">
        <v>2</v>
      </c>
      <c r="C31" t="s">
        <v>327</v>
      </c>
      <c r="D31">
        <v>28416</v>
      </c>
      <c r="E31">
        <v>6322590</v>
      </c>
      <c r="F31">
        <v>33.15</v>
      </c>
    </row>
    <row r="32" spans="2:6" x14ac:dyDescent="0.3">
      <c r="B32" t="s">
        <v>2</v>
      </c>
      <c r="C32" t="s">
        <v>288</v>
      </c>
      <c r="D32">
        <v>28416</v>
      </c>
      <c r="E32">
        <v>6322590</v>
      </c>
      <c r="F32">
        <v>33.15</v>
      </c>
    </row>
    <row r="33" spans="2:6" x14ac:dyDescent="0.3">
      <c r="B33" t="s">
        <v>2</v>
      </c>
      <c r="C33" t="s">
        <v>386</v>
      </c>
      <c r="D33">
        <v>28416</v>
      </c>
      <c r="E33">
        <v>6322590</v>
      </c>
      <c r="F33">
        <v>33.15</v>
      </c>
    </row>
    <row r="34" spans="2:6" x14ac:dyDescent="0.3">
      <c r="B34" t="s">
        <v>2</v>
      </c>
      <c r="C34" t="s">
        <v>207</v>
      </c>
      <c r="D34">
        <v>28416</v>
      </c>
      <c r="E34">
        <v>6322590</v>
      </c>
      <c r="F34">
        <v>33.15</v>
      </c>
    </row>
    <row r="35" spans="2:6" x14ac:dyDescent="0.3">
      <c r="B35" t="s">
        <v>2</v>
      </c>
      <c r="C35" t="s">
        <v>265</v>
      </c>
      <c r="D35">
        <v>28416</v>
      </c>
      <c r="E35">
        <v>6322590</v>
      </c>
      <c r="F35">
        <v>33.15</v>
      </c>
    </row>
    <row r="36" spans="2:6" x14ac:dyDescent="0.3">
      <c r="B36" t="s">
        <v>2</v>
      </c>
      <c r="C36" t="s">
        <v>199</v>
      </c>
      <c r="D36">
        <v>28416</v>
      </c>
      <c r="E36">
        <v>6322590</v>
      </c>
      <c r="F36">
        <v>33.15</v>
      </c>
    </row>
    <row r="37" spans="2:6" x14ac:dyDescent="0.3">
      <c r="B37" t="s">
        <v>2</v>
      </c>
      <c r="C37" t="s">
        <v>226</v>
      </c>
      <c r="D37">
        <v>28416</v>
      </c>
      <c r="E37">
        <v>6322590</v>
      </c>
      <c r="F37">
        <v>33.15</v>
      </c>
    </row>
    <row r="38" spans="2:6" x14ac:dyDescent="0.3">
      <c r="B38" t="s">
        <v>2</v>
      </c>
      <c r="C38" t="s">
        <v>308</v>
      </c>
      <c r="D38">
        <v>28416</v>
      </c>
      <c r="E38">
        <v>6322590</v>
      </c>
      <c r="F38">
        <v>33.15</v>
      </c>
    </row>
    <row r="39" spans="2:6" x14ac:dyDescent="0.3">
      <c r="B39" t="s">
        <v>2</v>
      </c>
      <c r="C39" t="s">
        <v>171</v>
      </c>
      <c r="D39">
        <v>28416</v>
      </c>
      <c r="E39">
        <v>6322590</v>
      </c>
      <c r="F39">
        <v>33.15</v>
      </c>
    </row>
    <row r="40" spans="2:6" x14ac:dyDescent="0.3">
      <c r="B40" t="s">
        <v>2</v>
      </c>
      <c r="C40" t="s">
        <v>186</v>
      </c>
      <c r="D40">
        <v>28416</v>
      </c>
      <c r="E40">
        <v>6322590</v>
      </c>
      <c r="F40">
        <v>33.15</v>
      </c>
    </row>
    <row r="41" spans="2:6" x14ac:dyDescent="0.3">
      <c r="B41" t="s">
        <v>2</v>
      </c>
      <c r="C41" t="s">
        <v>251</v>
      </c>
      <c r="D41">
        <v>23680</v>
      </c>
      <c r="E41">
        <v>5268825</v>
      </c>
      <c r="F41">
        <v>33.15</v>
      </c>
    </row>
    <row r="42" spans="2:6" x14ac:dyDescent="0.3">
      <c r="B42" t="s">
        <v>2</v>
      </c>
      <c r="C42" t="s">
        <v>193</v>
      </c>
      <c r="D42">
        <v>23680</v>
      </c>
      <c r="E42">
        <v>5268825</v>
      </c>
      <c r="F42">
        <v>33.15</v>
      </c>
    </row>
    <row r="43" spans="2:6" x14ac:dyDescent="0.3">
      <c r="B43" t="s">
        <v>2</v>
      </c>
      <c r="C43" t="s">
        <v>283</v>
      </c>
      <c r="D43">
        <v>23680</v>
      </c>
      <c r="E43">
        <v>5268825</v>
      </c>
      <c r="F43">
        <v>33.15</v>
      </c>
    </row>
    <row r="44" spans="2:6" x14ac:dyDescent="0.3">
      <c r="B44" t="s">
        <v>2</v>
      </c>
      <c r="C44" t="s">
        <v>217</v>
      </c>
      <c r="D44">
        <v>23680</v>
      </c>
      <c r="E44">
        <v>5268825</v>
      </c>
      <c r="F44">
        <v>33.15</v>
      </c>
    </row>
    <row r="45" spans="2:6" x14ac:dyDescent="0.3">
      <c r="B45" t="s">
        <v>2</v>
      </c>
      <c r="C45" t="s">
        <v>293</v>
      </c>
      <c r="D45">
        <v>23680</v>
      </c>
      <c r="E45">
        <v>5268825</v>
      </c>
      <c r="F45">
        <v>33.15</v>
      </c>
    </row>
    <row r="46" spans="2:6" x14ac:dyDescent="0.3">
      <c r="B46" t="s">
        <v>2</v>
      </c>
      <c r="C46" t="s">
        <v>413</v>
      </c>
      <c r="D46">
        <v>23680</v>
      </c>
      <c r="E46">
        <v>5268825</v>
      </c>
      <c r="F46">
        <v>33.15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6E35-4ACA-458E-B976-69237492A32F}">
  <dimension ref="A1:K15"/>
  <sheetViews>
    <sheetView topLeftCell="A7" workbookViewId="0">
      <selection activeCell="O21" sqref="O21"/>
    </sheetView>
  </sheetViews>
  <sheetFormatPr defaultRowHeight="14.4" x14ac:dyDescent="0.3"/>
  <cols>
    <col min="2" max="2" width="13.6640625" customWidth="1"/>
    <col min="3" max="3" width="13.44140625" customWidth="1"/>
    <col min="4" max="4" width="14.6640625" customWidth="1"/>
    <col min="5" max="5" width="14.5546875" customWidth="1"/>
    <col min="6" max="6" width="13.33203125" customWidth="1"/>
    <col min="7" max="7" width="18.5546875" customWidth="1"/>
    <col min="8" max="8" width="13.5546875" customWidth="1"/>
    <col min="9" max="9" width="14.77734375" customWidth="1"/>
    <col min="10" max="10" width="13" customWidth="1"/>
    <col min="11" max="11" width="13.109375" customWidth="1"/>
  </cols>
  <sheetData>
    <row r="1" spans="1:11" x14ac:dyDescent="0.3">
      <c r="A1" s="4" t="s">
        <v>414</v>
      </c>
    </row>
    <row r="2" spans="1:11" x14ac:dyDescent="0.3">
      <c r="A2" s="4" t="s">
        <v>415</v>
      </c>
    </row>
    <row r="3" spans="1:11" x14ac:dyDescent="0.3">
      <c r="A3" s="4" t="s">
        <v>416</v>
      </c>
    </row>
    <row r="4" spans="1:11" x14ac:dyDescent="0.3">
      <c r="A4" s="4"/>
    </row>
    <row r="5" spans="1:11" x14ac:dyDescent="0.3">
      <c r="A5" s="4" t="s">
        <v>417</v>
      </c>
    </row>
    <row r="6" spans="1:11" x14ac:dyDescent="0.3">
      <c r="A6" s="4" t="s">
        <v>418</v>
      </c>
    </row>
    <row r="8" spans="1:11" x14ac:dyDescent="0.3">
      <c r="B8" s="2" t="s">
        <v>152</v>
      </c>
      <c r="C8" s="2" t="s">
        <v>153</v>
      </c>
      <c r="D8" s="2" t="s">
        <v>154</v>
      </c>
      <c r="E8" s="2" t="s">
        <v>155</v>
      </c>
      <c r="F8" s="2" t="s">
        <v>156</v>
      </c>
      <c r="G8" s="2" t="s">
        <v>157</v>
      </c>
      <c r="H8" s="2" t="s">
        <v>419</v>
      </c>
      <c r="I8" s="2" t="s">
        <v>420</v>
      </c>
      <c r="J8" s="2" t="s">
        <v>421</v>
      </c>
      <c r="K8" s="2" t="s">
        <v>422</v>
      </c>
    </row>
    <row r="9" spans="1:11" x14ac:dyDescent="0.3">
      <c r="B9" t="s">
        <v>188</v>
      </c>
      <c r="C9" t="s">
        <v>189</v>
      </c>
      <c r="D9" t="s">
        <v>177</v>
      </c>
      <c r="E9">
        <v>50</v>
      </c>
      <c r="F9">
        <v>150</v>
      </c>
      <c r="G9">
        <v>199</v>
      </c>
      <c r="H9">
        <v>8758</v>
      </c>
      <c r="I9">
        <v>556442</v>
      </c>
      <c r="J9">
        <v>241.85</v>
      </c>
      <c r="K9">
        <v>170.3</v>
      </c>
    </row>
    <row r="10" spans="1:11" x14ac:dyDescent="0.3">
      <c r="B10" t="s">
        <v>229</v>
      </c>
      <c r="C10" t="s">
        <v>230</v>
      </c>
      <c r="D10" t="s">
        <v>231</v>
      </c>
      <c r="E10">
        <v>80</v>
      </c>
      <c r="F10">
        <v>80</v>
      </c>
      <c r="G10">
        <v>249</v>
      </c>
      <c r="H10">
        <v>8653</v>
      </c>
      <c r="I10">
        <v>248560</v>
      </c>
      <c r="J10">
        <v>238.63</v>
      </c>
      <c r="K10">
        <v>201.72</v>
      </c>
    </row>
    <row r="11" spans="1:11" x14ac:dyDescent="0.3">
      <c r="B11" t="s">
        <v>304</v>
      </c>
      <c r="C11" t="s">
        <v>305</v>
      </c>
      <c r="D11" t="s">
        <v>231</v>
      </c>
      <c r="E11">
        <v>40</v>
      </c>
      <c r="F11">
        <v>40</v>
      </c>
      <c r="G11">
        <v>149</v>
      </c>
      <c r="H11">
        <v>8614</v>
      </c>
      <c r="I11">
        <v>214480</v>
      </c>
      <c r="J11">
        <v>239.17</v>
      </c>
      <c r="K11">
        <v>206.34</v>
      </c>
    </row>
    <row r="12" spans="1:11" x14ac:dyDescent="0.3">
      <c r="B12" t="s">
        <v>423</v>
      </c>
      <c r="C12" t="s">
        <v>424</v>
      </c>
      <c r="D12" t="s">
        <v>177</v>
      </c>
      <c r="E12">
        <v>15</v>
      </c>
      <c r="F12">
        <v>120</v>
      </c>
      <c r="G12">
        <v>249</v>
      </c>
      <c r="H12">
        <v>8678</v>
      </c>
      <c r="I12">
        <v>193295</v>
      </c>
      <c r="J12">
        <v>243.31</v>
      </c>
      <c r="K12">
        <v>212.94</v>
      </c>
    </row>
    <row r="13" spans="1:11" x14ac:dyDescent="0.3">
      <c r="B13" t="s">
        <v>175</v>
      </c>
      <c r="C13" t="s">
        <v>176</v>
      </c>
      <c r="D13" t="s">
        <v>177</v>
      </c>
      <c r="E13">
        <v>20</v>
      </c>
      <c r="F13">
        <v>100</v>
      </c>
      <c r="G13">
        <v>299</v>
      </c>
      <c r="H13">
        <v>8695</v>
      </c>
      <c r="I13">
        <v>180779</v>
      </c>
      <c r="J13">
        <v>242.04</v>
      </c>
      <c r="K13">
        <v>213.07</v>
      </c>
    </row>
    <row r="15" spans="1:11" x14ac:dyDescent="0.3">
      <c r="B15" s="9" t="s">
        <v>425</v>
      </c>
      <c r="C15" s="9"/>
      <c r="G15" s="9" t="s">
        <v>426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2603-BEFC-4A12-9AE2-A1E01AE61F0D}">
  <dimension ref="A1:H28"/>
  <sheetViews>
    <sheetView topLeftCell="A10" workbookViewId="0">
      <selection activeCell="V8" sqref="V8"/>
    </sheetView>
  </sheetViews>
  <sheetFormatPr defaultRowHeight="14.4" x14ac:dyDescent="0.3"/>
  <cols>
    <col min="8" max="8" width="23.6640625" customWidth="1"/>
  </cols>
  <sheetData>
    <row r="1" spans="1:8" x14ac:dyDescent="0.3">
      <c r="A1" s="1" t="s">
        <v>427</v>
      </c>
    </row>
    <row r="2" spans="1:8" x14ac:dyDescent="0.3">
      <c r="A2" s="1" t="s">
        <v>428</v>
      </c>
    </row>
    <row r="3" spans="1:8" x14ac:dyDescent="0.3">
      <c r="A3" s="1" t="s">
        <v>429</v>
      </c>
    </row>
    <row r="4" spans="1:8" x14ac:dyDescent="0.3">
      <c r="A4" s="1" t="s">
        <v>430</v>
      </c>
    </row>
    <row r="5" spans="1:8" x14ac:dyDescent="0.3">
      <c r="A5" s="1" t="s">
        <v>431</v>
      </c>
    </row>
    <row r="6" spans="1:8" x14ac:dyDescent="0.3">
      <c r="A6" s="1" t="s">
        <v>432</v>
      </c>
    </row>
    <row r="8" spans="1:8" x14ac:dyDescent="0.3">
      <c r="B8" s="2" t="s">
        <v>136</v>
      </c>
      <c r="C8" s="2" t="s">
        <v>433</v>
      </c>
      <c r="D8" s="2" t="s">
        <v>150</v>
      </c>
      <c r="E8" s="2" t="s">
        <v>55</v>
      </c>
      <c r="F8" s="2" t="s">
        <v>407</v>
      </c>
      <c r="G8" s="2" t="s">
        <v>434</v>
      </c>
      <c r="H8" s="2" t="s">
        <v>435</v>
      </c>
    </row>
    <row r="9" spans="1:8" x14ac:dyDescent="0.3">
      <c r="B9" t="s">
        <v>3</v>
      </c>
      <c r="C9" t="s">
        <v>174</v>
      </c>
      <c r="D9">
        <v>560103</v>
      </c>
      <c r="E9">
        <v>7960</v>
      </c>
      <c r="F9">
        <v>1830318</v>
      </c>
      <c r="G9">
        <v>35.159999999999997</v>
      </c>
      <c r="H9" s="7">
        <v>0.96389999999999998</v>
      </c>
    </row>
    <row r="10" spans="1:8" x14ac:dyDescent="0.3">
      <c r="B10" t="s">
        <v>3</v>
      </c>
      <c r="C10" t="s">
        <v>174</v>
      </c>
      <c r="D10">
        <v>560034</v>
      </c>
      <c r="E10">
        <v>7949</v>
      </c>
      <c r="F10">
        <v>1817683</v>
      </c>
      <c r="G10">
        <v>35.28</v>
      </c>
      <c r="H10" s="7">
        <v>0.96619999999999995</v>
      </c>
    </row>
    <row r="11" spans="1:8" x14ac:dyDescent="0.3">
      <c r="B11" t="s">
        <v>3</v>
      </c>
      <c r="C11" t="s">
        <v>174</v>
      </c>
      <c r="D11">
        <v>560076</v>
      </c>
      <c r="E11">
        <v>7920</v>
      </c>
      <c r="F11">
        <v>1811867</v>
      </c>
      <c r="G11">
        <v>35.020000000000003</v>
      </c>
      <c r="H11" s="7">
        <v>0.96460000000000001</v>
      </c>
    </row>
    <row r="12" spans="1:8" x14ac:dyDescent="0.3">
      <c r="B12" t="s">
        <v>3</v>
      </c>
      <c r="C12" t="s">
        <v>174</v>
      </c>
      <c r="D12">
        <v>560016</v>
      </c>
      <c r="E12">
        <v>7966</v>
      </c>
      <c r="F12">
        <v>1801948</v>
      </c>
      <c r="G12">
        <v>35.049999999999997</v>
      </c>
      <c r="H12" s="7">
        <v>0.96279999999999999</v>
      </c>
    </row>
    <row r="13" spans="1:8" x14ac:dyDescent="0.3">
      <c r="B13" t="s">
        <v>3</v>
      </c>
      <c r="C13" t="s">
        <v>174</v>
      </c>
      <c r="D13">
        <v>560002</v>
      </c>
      <c r="E13">
        <v>7979</v>
      </c>
      <c r="F13">
        <v>1800878</v>
      </c>
      <c r="G13">
        <v>35.39</v>
      </c>
      <c r="H13" s="7">
        <v>0.96399999999999997</v>
      </c>
    </row>
    <row r="14" spans="1:8" x14ac:dyDescent="0.3">
      <c r="B14" t="s">
        <v>2</v>
      </c>
      <c r="C14" t="s">
        <v>202</v>
      </c>
      <c r="D14">
        <v>500016</v>
      </c>
      <c r="E14">
        <v>8167</v>
      </c>
      <c r="F14">
        <v>1797898</v>
      </c>
      <c r="G14">
        <v>33.049999999999997</v>
      </c>
      <c r="H14" s="7">
        <v>0.96360000000000001</v>
      </c>
    </row>
    <row r="15" spans="1:8" x14ac:dyDescent="0.3">
      <c r="B15" t="s">
        <v>3</v>
      </c>
      <c r="C15" t="s">
        <v>174</v>
      </c>
      <c r="D15">
        <v>560066</v>
      </c>
      <c r="E15">
        <v>7857</v>
      </c>
      <c r="F15">
        <v>1797676</v>
      </c>
      <c r="G15">
        <v>35.25</v>
      </c>
      <c r="H15" s="7">
        <v>0.96609999999999996</v>
      </c>
    </row>
    <row r="16" spans="1:8" x14ac:dyDescent="0.3">
      <c r="B16" t="s">
        <v>3</v>
      </c>
      <c r="C16" t="s">
        <v>174</v>
      </c>
      <c r="D16">
        <v>560001</v>
      </c>
      <c r="E16">
        <v>7866</v>
      </c>
      <c r="F16">
        <v>1794426</v>
      </c>
      <c r="G16">
        <v>35.340000000000003</v>
      </c>
      <c r="H16" s="7">
        <v>0.96240000000000003</v>
      </c>
    </row>
    <row r="17" spans="2:8" x14ac:dyDescent="0.3">
      <c r="B17" t="s">
        <v>3</v>
      </c>
      <c r="C17" t="s">
        <v>174</v>
      </c>
      <c r="D17">
        <v>560003</v>
      </c>
      <c r="E17">
        <v>7852</v>
      </c>
      <c r="F17">
        <v>1775793</v>
      </c>
      <c r="G17">
        <v>35.14</v>
      </c>
      <c r="H17" s="7">
        <v>0.96140000000000003</v>
      </c>
    </row>
    <row r="18" spans="2:8" x14ac:dyDescent="0.3">
      <c r="B18" t="s">
        <v>2</v>
      </c>
      <c r="C18" t="s">
        <v>202</v>
      </c>
      <c r="D18">
        <v>500081</v>
      </c>
      <c r="E18">
        <v>7982</v>
      </c>
      <c r="F18">
        <v>1768501</v>
      </c>
      <c r="G18">
        <v>33.17</v>
      </c>
      <c r="H18" s="7">
        <v>0.96479999999999999</v>
      </c>
    </row>
    <row r="19" spans="2:8" x14ac:dyDescent="0.3">
      <c r="B19" t="s">
        <v>2</v>
      </c>
      <c r="C19" t="s">
        <v>202</v>
      </c>
      <c r="D19">
        <v>500004</v>
      </c>
      <c r="E19">
        <v>8001</v>
      </c>
      <c r="F19">
        <v>1768087</v>
      </c>
      <c r="G19">
        <v>33.32</v>
      </c>
      <c r="H19" s="7">
        <v>0.96550000000000002</v>
      </c>
    </row>
    <row r="20" spans="2:8" x14ac:dyDescent="0.3">
      <c r="B20" t="s">
        <v>3</v>
      </c>
      <c r="C20" t="s">
        <v>174</v>
      </c>
      <c r="D20">
        <v>560068</v>
      </c>
      <c r="E20">
        <v>7816</v>
      </c>
      <c r="F20">
        <v>1766488</v>
      </c>
      <c r="G20">
        <v>35.159999999999997</v>
      </c>
      <c r="H20" s="7">
        <v>0.96199999999999997</v>
      </c>
    </row>
    <row r="21" spans="2:8" x14ac:dyDescent="0.3">
      <c r="B21" t="s">
        <v>2</v>
      </c>
      <c r="C21" t="s">
        <v>202</v>
      </c>
      <c r="D21">
        <v>500003</v>
      </c>
      <c r="E21">
        <v>7985</v>
      </c>
      <c r="F21">
        <v>1760601</v>
      </c>
      <c r="G21">
        <v>33.22</v>
      </c>
      <c r="H21" s="7">
        <v>0.96319999999999995</v>
      </c>
    </row>
    <row r="22" spans="2:8" x14ac:dyDescent="0.3">
      <c r="B22" t="s">
        <v>2</v>
      </c>
      <c r="C22" t="s">
        <v>202</v>
      </c>
      <c r="D22">
        <v>500002</v>
      </c>
      <c r="E22">
        <v>7899</v>
      </c>
      <c r="F22">
        <v>1758979</v>
      </c>
      <c r="G22">
        <v>33.08</v>
      </c>
      <c r="H22" s="7">
        <v>0.9647</v>
      </c>
    </row>
    <row r="23" spans="2:8" x14ac:dyDescent="0.3">
      <c r="B23" t="s">
        <v>3</v>
      </c>
      <c r="C23" t="s">
        <v>174</v>
      </c>
      <c r="D23">
        <v>560004</v>
      </c>
      <c r="E23">
        <v>7716</v>
      </c>
      <c r="F23">
        <v>1753029</v>
      </c>
      <c r="G23">
        <v>35.090000000000003</v>
      </c>
      <c r="H23" s="7">
        <v>0.9627</v>
      </c>
    </row>
    <row r="24" spans="2:8" x14ac:dyDescent="0.3">
      <c r="B24" t="s">
        <v>2</v>
      </c>
      <c r="C24" t="s">
        <v>202</v>
      </c>
      <c r="D24">
        <v>500032</v>
      </c>
      <c r="E24">
        <v>7957</v>
      </c>
      <c r="F24">
        <v>1750337</v>
      </c>
      <c r="G24">
        <v>33.15</v>
      </c>
      <c r="H24" s="7">
        <v>0.96609999999999996</v>
      </c>
    </row>
    <row r="25" spans="2:8" x14ac:dyDescent="0.3">
      <c r="B25" t="s">
        <v>2</v>
      </c>
      <c r="C25" t="s">
        <v>202</v>
      </c>
      <c r="D25">
        <v>500034</v>
      </c>
      <c r="E25">
        <v>7868</v>
      </c>
      <c r="F25">
        <v>1748181</v>
      </c>
      <c r="G25">
        <v>33.11</v>
      </c>
      <c r="H25" s="7">
        <v>0.96630000000000005</v>
      </c>
    </row>
    <row r="26" spans="2:8" x14ac:dyDescent="0.3">
      <c r="B26" t="s">
        <v>2</v>
      </c>
      <c r="C26" t="s">
        <v>202</v>
      </c>
      <c r="D26">
        <v>500072</v>
      </c>
      <c r="E26">
        <v>8002</v>
      </c>
      <c r="F26">
        <v>1740472</v>
      </c>
      <c r="G26">
        <v>33.33</v>
      </c>
      <c r="H26" s="7">
        <v>0.96579999999999999</v>
      </c>
    </row>
    <row r="27" spans="2:8" x14ac:dyDescent="0.3">
      <c r="B27" t="s">
        <v>2</v>
      </c>
      <c r="C27" t="s">
        <v>202</v>
      </c>
      <c r="D27">
        <v>500018</v>
      </c>
      <c r="E27">
        <v>7874</v>
      </c>
      <c r="F27">
        <v>1711785</v>
      </c>
      <c r="G27">
        <v>32.96</v>
      </c>
      <c r="H27" s="7">
        <v>0.96199999999999997</v>
      </c>
    </row>
    <row r="28" spans="2:8" x14ac:dyDescent="0.3">
      <c r="B28" t="s">
        <v>2</v>
      </c>
      <c r="C28" t="s">
        <v>202</v>
      </c>
      <c r="D28">
        <v>500001</v>
      </c>
      <c r="E28">
        <v>7784</v>
      </c>
      <c r="F28">
        <v>1704050</v>
      </c>
      <c r="G28">
        <v>33.33</v>
      </c>
      <c r="H28" s="7">
        <v>0.96209999999999996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Total_orders</vt:lpstr>
      <vt:lpstr>Avg_delivery_time</vt:lpstr>
      <vt:lpstr>Net_revenue by month_year</vt:lpstr>
      <vt:lpstr>Coupon_used_percentage</vt:lpstr>
      <vt:lpstr>pct_gross_amount_monthly</vt:lpstr>
      <vt:lpstr>pct_membership_benefit</vt:lpstr>
      <vt:lpstr>active_customers monthly</vt:lpstr>
      <vt:lpstr>Delivery_Success_rate</vt:lpstr>
      <vt:lpstr>Raining Vs Not Raining</vt:lpstr>
      <vt:lpstr>Worst 50 deliveries</vt:lpstr>
      <vt:lpstr>Exposed orders</vt:lpstr>
      <vt:lpstr>Campaign vs no campaign</vt:lpstr>
      <vt:lpstr>Joining tables</vt:lpstr>
      <vt:lpstr>quality check</vt:lpstr>
      <vt:lpstr>top cuisines</vt:lpstr>
      <vt:lpstr>Net Revenue by restaurant</vt:lpstr>
      <vt:lpstr>Coupon performance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Shahnawaaz Bagwan</dc:creator>
  <cp:lastModifiedBy>Shahnawaaz Bagwan</cp:lastModifiedBy>
  <dcterms:created xsi:type="dcterms:W3CDTF">2026-02-03T20:32:40Z</dcterms:created>
  <dcterms:modified xsi:type="dcterms:W3CDTF">2026-02-04T20:41:12Z</dcterms:modified>
</cp:coreProperties>
</file>